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Resumen" sheetId="1" r:id="rId4"/>
    <sheet name="Checklist" sheetId="2" r:id="rId5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<sst xmlns="http://schemas.openxmlformats.org/spreadsheetml/2006/main" uniqueCount="430">
  <si>
    <t>NeoEduCore — Avance de pendientes</t>
  </si>
  <si>
    <t>Cuenta solo las tareas principales (tipo «Tarea»); las subtareas se siguen en la hoja Checklist. «Cerradas» = Hecho + Descartado.</t>
  </si>
  <si>
    <t>Sección</t>
  </si>
  <si>
    <t>Total</t>
  </si>
  <si>
    <t>Pendiente</t>
  </si>
  <si>
    <t>En curso</t>
  </si>
  <si>
    <t>Hecho</t>
  </si>
  <si>
    <t>Descartado</t>
  </si>
  <si>
    <t>Cerradas</t>
  </si>
  <si>
    <t>% avance</t>
  </si>
  <si>
    <t>1. Decisiones que bloquean otras tareas</t>
  </si>
  <si>
    <t>2. Seguridad</t>
  </si>
  <si>
    <t>3. Producción y despliegue</t>
  </si>
  <si>
    <t>4. Mediciones</t>
  </si>
  <si>
    <t>5. Frontend</t>
  </si>
  <si>
    <t>6. Informe del TFG</t>
  </si>
  <si>
    <t>7. Entregables no-código</t>
  </si>
  <si>
    <t>8. Mejoras opcionales</t>
  </si>
  <si>
    <t>9. Funcionalidad nueva del backend</t>
  </si>
  <si>
    <t>Prioridad</t>
  </si>
  <si>
    <t>1 · Alta</t>
  </si>
  <si>
    <t>2 · Media</t>
  </si>
  <si>
    <t>3 · Media-baja</t>
  </si>
  <si>
    <t>4 · Normal</t>
  </si>
  <si>
    <t>Código</t>
  </si>
  <si>
    <t>Tipo</t>
  </si>
  <si>
    <t>Subsección</t>
  </si>
  <si>
    <t>Tarea</t>
  </si>
  <si>
    <t>Detalle</t>
  </si>
  <si>
    <t>Depende de</t>
  </si>
  <si>
    <t>Fuente</t>
  </si>
  <si>
    <t>Estado</t>
  </si>
  <si>
    <t>Fecha cierre</t>
  </si>
  <si>
    <t>Notas</t>
  </si>
  <si>
    <t>D1</t>
  </si>
  <si>
    <t>Recomendaciones post-examen: IA diferida a la cola</t>
  </si>
  <si>
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</si>
  <si>
    <t>ESTADO_Y_PENDIENTES.md §3.6 nº 1</t>
  </si>
  <si>
    <t>Elegida (a). Disparador: la consulta de resultados, no la entrega. Job GenerateAiRecommendations + attempt_id/generated_by/ai_recommendations_status. Migracion 2026_09_13_000001 aplicada. Depende de P1 (worker) y P2 (QUEUE_CONNECTION).</t>
  </si>
  <si>
    <t>D2</t>
  </si>
  <si>
    <t>Metadatos curriculares de questions y subject_id en study_resources</t>
  </si>
  <si>
    <t>• Añadir las columnas o recortar la promesa en [171], [222], [263] y [276].
• Bloquea: banco de 60 ítems (E2), diagnóstico por tema, «temas más recomendados» para el docente, recursos por materia.</t>
  </si>
  <si>
    <t>ESTADO_Y_PENDIENTES.md §3.6 nº 7</t>
  </si>
  <si>
    <t>Se anadieron las columnas, alcance completo. topic_normalized es columna generada por PostgreSQL. Tema como texto libre normalizado, no catalogo. Migracion 2026_09_13_000002 aplicada. Desbloquea E2 y cierra K2, K3 y K4.</t>
  </si>
  <si>
    <t>D3</t>
  </si>
  <si>
    <t>Expiracion de sesion: inactividad de 60 min</t>
  </si>
  <si>
    <t>• config/sanctum.php:50 → SANCTUM_TOKEN_EXPIRATION_MINUTES, 720 por defecto.
• Recomendado: bajar la variable (cuentas de menores en equipos compartidos) en vez de relajar el requisito.
• Si se baja: ajustar .env.example y fijarlo en Coolify (P2).</t>
  </si>
  <si>
    <t>ESTADO_Y_PENDIENTES.md §9.3 · ANALISIS_MODELO_DATOS_TFG.md §10.2 nº 9</t>
  </si>
  <si>
    <t>Inactividad real de 60 min sobre last_used_at (SANCTUM_TOKEN_INACTIVITY_MINUTES), no expiracion absoluta. Bajar EXPIRATION a 60 habria expulsado al alumno a mitad de un examen de hasta 300 min. Via Sanctum::authenticateAccessTokensUsing(), no middleware. Cierra K9 e I-11.</t>
  </si>
  <si>
    <t>D4</t>
  </si>
  <si>
    <t>Aviso de «esta respuesta la genera una IA» ([397])</t>
  </si>
  <si>
    <t>• Campo en la respuesta de POST /ai/tutor/chat (hoy {session_id, reply, message_count}) o el informe lo atribuye a la interfaz.</t>
  </si>
  <si>
    <t>ESTADO_Y_PENDIENTES.md §3.6 nº 8</t>
  </si>
  <si>
    <t>Campo ai_notice en la respuesta del chat y del diagnostico. Texto en openai.tutor.notice (OPENAI_TUTOR_NOTICE). Se eligio el sistema y no el frontend: el compromiso de [397] es del sistema. Cierra K5.</t>
  </si>
  <si>
    <t>D5</t>
  </si>
  <si>
    <t>Registro de incidencias del tutor IA</t>
  </si>
  <si>
    <t>• Hoy los bloqueos por PII o enlace no permitido solo dejan Log::warning.
• Crear tabla/contador o retirar del informe el criterio «&gt;75 % de mensajes que superen validación».</t>
  </si>
  <si>
    <t>ESTADO_Y_PENDIENTES.md §9.3 · §3.6 nº 6</t>
  </si>
  <si>
    <t>Tabla ai_tutor_incidents (migracion 2026_09_13_000003, aplicada) + GET /platform/ai-tutor-metrics solo superadmin, solo agregados. NO guarda el texto que provoco la incidencia. Cierra K6.</t>
  </si>
  <si>
    <t>D6</t>
  </si>
  <si>
    <t>PATCH /users/{id}/reset-password no activa la cuenta</t>
  </si>
  <si>
    <t>• Coherente con «la activa su dueño», pero confunde a soporte. ¿Se deja, se activa o se documenta?</t>
  </si>
  <si>
    <t>ESTADO_Y_PENDIENTES.md §8</t>
  </si>
  <si>
    <t>Se queda sin activar (la regla no se toca) pero la respuesta devuelve status, can_sign_in y activation_needed, y el mensaje dice que hay que enviar el enlace de activacion.</t>
  </si>
  <si>
    <t>D7</t>
  </si>
  <si>
    <t>available-exams muestra max_attempts al alumno</t>
  </si>
  <si>
    <t>• Se dejó para poder mostrar «intento 2 de 3». Confirmar.</t>
  </si>
  <si>
    <t>Confirmado: se queda. Sin cambios de codigo. Con max_attempts y submitted_count el frontend pinta «intento 2 de 3». No es informacion sensible.</t>
  </si>
  <si>
    <t>D8</t>
  </si>
  <si>
    <t>¿Formalizar ENABLE ROW LEVEL SECURITY en una migración?</t>
  </si>
  <si>
    <t>• Hoy lo pone Supabase; un PostgreSQL que no sea Supabase no lo tendría.</t>
  </si>
  <si>
    <t>ESTADO_Y_PENDIENTES.md §5, pendientes 31/07</t>
  </si>
  <si>
    <t>Migracion 2026_09_13_000004 sobre 26 tablas, idempotente, aplicada. RLS sin politicas no afecta a la app (su rol es propietario); cierra la API REST automatica de Supabase. Ademas schema:dump-sql ya no pierde el bloque.</t>
  </si>
  <si>
    <t>S1</t>
  </si>
  <si>
    <t>Revisión sistemática de seguridad por rol, endpoint por endpoint</t>
  </si>
  <si>
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</si>
  <si>
    <t>Revisados los 122 endpoints contra los 4 roles. 1 hallazgo real corregido: /users era puerta paralela a /students (docente sin asignacion listaba a todos los menores con nombre y correo). Blindado por tests/Feature/Security/AlcancePorRolTest.php (13 casos). Deja abiertos S5 y S6.</t>
  </si>
  <si>
    <t>S2</t>
  </si>
  <si>
    <t>Cambiar la contraseña temporal del superadmin en producción</t>
  </si>
  <si>
    <t>• POST /api/password/change. Antes de que haya usuarios reales.</t>
  </si>
  <si>
    <t>S3</t>
  </si>
  <si>
    <t>Credencial de PostgreSQL en el historial de git</t>
  </si>
  <si>
    <t>S3.1</t>
  </si>
  <si>
    <t>Subtarea</t>
  </si>
  <si>
    <t>Rotar esa contraseña si sigue viva en alguna base.</t>
  </si>
  <si>
    <t>S3.2</t>
  </si>
  <si>
    <t>Decidir con el equipo si se limpia el historial (git filter-repo/BFG + push forzado a Infil505/NeoEduCore-Back; afecta a los otros proponentes).</t>
  </si>
  <si>
    <t>S4</t>
  </si>
  <si>
    <t>Posible inyección de fórmulas en los CSV exportados</t>
  </si>
  <si>
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</si>
  <si>
    <t>Confirmado y corregido. CSV neutraliza con apóstrofo; XLSX escribe tipo texto explícito. Cubierto por tests/Feature/Crud/ReportExportsTest.php.</t>
  </si>
  <si>
    <t>P1</t>
  </si>
  <si>
    <t>Desplegar el código en Coolify</t>
  </si>
  <si>
    <t>• Las migraciones ya están en producción; los cambios de permisos solo entran al desplegar.</t>
  </si>
  <si>
    <t>DEPLOY_COOLIFY.md §2–5</t>
  </si>
  <si>
    <t>P1.1</t>
  </si>
  <si>
    <t>Recurso App (Octane + FrankenPHP)</t>
  </si>
  <si>
    <t>P1.2</t>
  </si>
  <si>
    <t>Recurso Worker (queue:work)</t>
  </si>
  <si>
    <t>• Imprescindible desde D1: sin el, los intentos se quedan en «preparing» y el alumno nunca ve el analisis.</t>
  </si>
  <si>
    <t>P1.3</t>
  </si>
  <si>
    <t>Scheduled task (schedule:run)</t>
  </si>
  <si>
    <t>P2</t>
  </si>
  <si>
    <t>Variables de entorno en Coolify</t>
  </si>
  <si>
    <t>• (el .env local no llega al servidor)</t>
  </si>
  <si>
    <t>P2.1</t>
  </si>
  <si>
    <t>CACHE_STORE distinto de array — si no, ningún rate limiter es global</t>
  </si>
  <si>
    <t>P2.2</t>
  </si>
  <si>
    <t>TRUSTED_PROXIES — si no, todos los límites por IP agrupan a los usuarios y el sistema se autobloquea</t>
  </si>
  <si>
    <t>P2.3</t>
  </si>
  <si>
    <t>APP_NAME=NeoEduCore</t>
  </si>
  <si>
    <t>P2.4</t>
  </si>
  <si>
    <t>APP_URL=https://&lt;dominio real&gt; — y registrar la URL real en DEPLOY_COOLIFY.md:44 (hoy https://tu-dominio)</t>
  </si>
  <si>
    <t>P2.5</t>
  </si>
  <si>
    <t>OPENAI_REQUEST_TIMEOUT=15</t>
  </si>
  <si>
    <t>P2.6</t>
  </si>
  <si>
    <t>DB_STATEMENT_TIMEOUT_MS=15000</t>
  </si>
  <si>
    <t>P2.7</t>
  </si>
  <si>
    <t>SANCTUM_TOKEN_EXPIRATION_MINUTES=720 y SANCTUM_TOKEN_INACTIVITY_MINUTES=60</t>
  </si>
  <si>
    <t>• Las dos, segun D3.
• EXPIRATION es el tope absoluto de jornada; INACTIVITY es lo que exige [758].</t>
  </si>
  <si>
    <t>P3</t>
  </si>
  <si>
    <t>Cargar las asignaciones de docentes</t>
  </si>
  <si>
    <t>• (POST /api/teacher-assignments)
• La tabla nace vacía a propósito: hasta entonces ningún docente ve a ningún estudiante.</t>
  </si>
  <si>
    <t>P4</t>
  </si>
  <si>
    <t>Cloudflare delante del dominio + sus rangos en TRUSTED_PROXIES, en el mismo cambio</t>
  </si>
  <si>
    <t>• ⚠️ Lo primero sin lo segundo deja el sistema peor que ahora.</t>
  </si>
  <si>
    <t>DEPLOY_COOLIFY.md §9</t>
  </si>
  <si>
    <t>P5</t>
  </si>
  <si>
    <t>Rate limiting en Traefik</t>
  </si>
  <si>
    <t>• como segunda capa</t>
  </si>
  <si>
    <t>P6</t>
  </si>
  <si>
    <t>Backups cifrados de la base de datos</t>
  </si>
  <si>
    <t>• no hay script ni documentación (RNF de seguridad)</t>
  </si>
  <si>
    <t>P7</t>
  </si>
  <si>
    <t>Monitoreo y alertas de caída</t>
  </si>
  <si>
    <t>• Sentry o equivalente (RNF de disponibilidad)</t>
  </si>
  <si>
    <t>P8</t>
  </si>
  <si>
    <t>Documentar HTTPS/TLS</t>
  </si>
  <si>
    <t>• en DEPLOY_COOLIFY.md (lo resuelve Coolify, pero debe quedar escrito)</t>
  </si>
  <si>
    <t>M1</t>
  </si>
  <si>
    <t>Verificar que $request-&gt;ip() devuelve IPs reales</t>
  </si>
  <si>
    <t>• en producción y no la de Traefik</t>
  </si>
  <si>
    <t>P1–P2</t>
  </si>
  <si>
    <t>M2</t>
  </si>
  <si>
    <t>RTT real del contenedor a Supabase</t>
  </si>
  <si>
    <t>• psql "$DATABASE_URL" -c '\timing on' -c 'SELECT 1;' desde el contenedor desplegado.</t>
  </si>
  <si>
    <t>ANALISIS_CONCURRENCIA.md §6.5</t>
  </si>
  <si>
    <t>M3</t>
  </si>
  <si>
    <t>Prueba de carga contra el despliegue real con Octane</t>
  </si>
  <si>
    <t>• (valida «200 concurrentes»)
• k6 run -e BASE_URL=https://&lt;host&gt;/api -e VUS=50 -e DURATION=60s k6/exam_peak.js</t>
  </si>
  <si>
    <t>M4</t>
  </si>
  <si>
    <t>Informe de cobertura ≥ 70 %</t>
  </si>
  <si>
    <t>• php artisan test --coverage --min=70 (requiere Xdebug o PCOV).</t>
  </si>
  <si>
    <t>F1</t>
  </si>
  <si>
    <t>Funcionalidad nueva</t>
  </si>
  <si>
    <t>PDF de reportes</t>
  </si>
  <si>
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</si>
  <si>
    <t>F2</t>
  </si>
  <si>
    <t>PDF de estrategias del tutor</t>
  </si>
  <si>
    <t>• Datos: GET /reports/students/me/strategies y GET /reports/students/{id}/strategies.</t>
  </si>
  <si>
    <t>F3</t>
  </si>
  <si>
    <t>Panel de superadmin</t>
  </si>
  <si>
    <t>• instituciones y sus administradores</t>
  </si>
  <si>
    <t>F4</t>
  </si>
  <si>
    <t>Pantalla de admin para asignar docentes</t>
  </si>
  <si>
    <t>• (/api/teacher-assignments)</t>
  </si>
  <si>
    <t>F5</t>
  </si>
  <si>
    <t>Confirmación antes de borrar</t>
  </si>
  <si>
    <t>• materias/grupos/exámenes/usuarios, mostrando exams_count (los borrados cascadean a resultados de alumnos)</t>
  </si>
  <si>
    <t>F6</t>
  </si>
  <si>
    <t>Saludo con el nombre del alumno en el tutor</t>
  </si>
  <si>
    <t>• (el backend ya no lo envía a OpenAI)</t>
  </si>
  <si>
    <t>F7</t>
  </si>
  <si>
    <t>Aviso de IA en cada respuesta del tutor</t>
  </si>
  <si>
    <t>• (según D4)</t>
  </si>
  <si>
    <t>Listo para consumir: el backend lo manda en data.ai_notice (D4).</t>
  </si>
  <si>
    <t>F8</t>
  </si>
  <si>
    <t>Cargar el diagnóstico automáticamente al abrir el tutor</t>
  </si>
  <si>
    <t>• (GET /ai/tutor/diagnosis)</t>
  </si>
  <si>
    <t>F9</t>
  </si>
  <si>
    <t>Contexto exam_id opcional en el chat del tutor</t>
  </si>
  <si>
    <t>F10</t>
  </si>
  <si>
    <t>Adaptaciones a cambios que rompen</t>
  </si>
  <si>
    <t>Publicar/activar exámenes con PATCH /exams/{id}/status</t>
  </si>
  <si>
    <t>• sin esto ningún examen sale de draft</t>
  </si>
  <si>
    <t>F11</t>
  </si>
  <si>
    <t>Vista del alumno con GET /students/me/available-exams</t>
  </si>
  <si>
    <t>• en vez de GET /exams</t>
  </si>
  <si>
    <t>F12</t>
  </si>
  <si>
    <t>Docente acotado a sus grupos asignados</t>
  </si>
  <si>
    <t>F12.1</t>
  </si>
  <si>
    <t>GET /students, GET /groups e informes devuelven solo lo asignado (403 fuera)</t>
  </si>
  <si>
    <t>F12.2</t>
  </si>
  <si>
    <t>POST/DELETE /groups/{id}/students pasó a admin-only</t>
  </si>
  <si>
    <t>F12.3</t>
  </si>
  <si>
    <t>Crear examen con grupo no asignado → 403 con grupos_no_asignados</t>
  </si>
  <si>
    <t>F13</t>
  </si>
  <si>
    <t>Admin sin acceso a /api/institutions</t>
  </si>
  <si>
    <t>• → leer su institución por GET /api/system/config</t>
  </si>
  <si>
    <t>F14</t>
  </si>
  <si>
    <t>Plantilla de carga masiva nueva</t>
  </si>
  <si>
    <t>• columna aula obligatoria; fuera grade, section, group_code. Bajarla de /api/students/bulk-upload/template</t>
  </si>
  <si>
    <t>F15</t>
  </si>
  <si>
    <t>Cuentas de carga masiva nacen inactivas</t>
  </si>
  <si>
    <t>• hasta que el dueño define su contraseña</t>
  </si>
  <si>
    <t>F16</t>
  </si>
  <si>
    <t>GET /ai-recommendations ya no lista al docente las de exámenes ajenos</t>
  </si>
  <si>
    <t>I-1</t>
  </si>
  <si>
    <t>Correcciones críticas</t>
  </si>
  <si>
    <t>Stack tecnológico</t>
  </si>
  <si>
    <t>• ANALISIS_MODELO_DATOS_TFG.md §9.1</t>
  </si>
  <si>
    <t>I-1.1</t>
  </si>
  <si>
    <t>Quitar Node.js como capa de datos intermediaria</t>
  </si>
  <si>
    <t>I-1.2</t>
  </si>
  <si>
    <t>Quitar Next.js → React 19 + Vite + TypeScript</t>
  </si>
  <si>
    <t>I-1.3</t>
  </si>
  <si>
    <t>JWT → Laravel Sanctum</t>
  </si>
  <si>
    <t>I-1.4</t>
  </si>
  <si>
    <t>Render/Railway → DigitalOcean + Coolify + Supabase</t>
  </si>
  <si>
    <t>I-2</t>
  </si>
  <si>
    <t>Relación docente↔estudiante vía teacher_assignments</t>
  </si>
  <si>
    <t>• (§9.8.5)</t>
  </si>
  <si>
    <t>I-3</t>
  </si>
  <si>
    <t>Capítulo del tutor</t>
  </si>
  <si>
    <t>• según D1</t>
  </si>
  <si>
    <t>D1 cerrada por codigo: el capitulo puede describir el sistema tal cual, sin recortar la promesa.</t>
  </si>
  <si>
    <t>I-4</t>
  </si>
  <si>
    <t>Modelo de datos y diagramas</t>
  </si>
  <si>
    <t>Incorporar al .docx los 16 diagramas de DIAGRAMAS.md</t>
  </si>
  <si>
    <t>• (su tabla final dice qué figura sustituye cada uno)</t>
  </si>
  <si>
    <t>I-5</t>
  </si>
  <si>
    <t>Diccionario de datos</t>
  </si>
  <si>
    <t>• (47 FK, 19 tablas de dominio = 15 entidades + 4 pivotes)</t>
  </si>
  <si>
    <t>I-6</t>
  </si>
  <si>
    <t>Añadir AiChatSession, StudentSubject y TeacherAssignment al diagrama de clases</t>
  </si>
  <si>
    <t>I-7</t>
  </si>
  <si>
    <t>Nombrar los 4 roles reales</t>
  </si>
  <si>
    <t>• (superadmin, admin, teacher, student) y la frontera superadmin/admin (§9.6)</t>
  </si>
  <si>
    <t>I-8</t>
  </si>
  <si>
    <t>Justificar las 2 decisiones de diseño</t>
  </si>
  <si>
    <t>• de §4</t>
  </si>
  <si>
    <t>I-9</t>
  </si>
  <si>
    <t>Requisitos no funcionales</t>
  </si>
  <si>
    <t>Rendimiento:</t>
  </si>
  <si>
    <t>• ≤2 s y reporte de 1.000 en &lt;5 s están medidos; «200 concurrentes» según M3</t>
  </si>
  <si>
    <t>I-10</t>
  </si>
  <si>
    <t>Disponibilidad 99 %:</t>
  </si>
  <si>
    <t>• declarar que no se sostiene solo con la aplicación (requiere P4)</t>
  </si>
  <si>
    <t>I-11</t>
  </si>
  <si>
    <t>Expiración de sesión</t>
  </si>
  <si>
    <t>• según D3</t>
  </si>
  <si>
    <t>Se cumple [758] desde D3. Explicar que es inactividad y no expiracion absoluta, y por que.</t>
  </si>
  <si>
    <t>C1</t>
  </si>
  <si>
    <t>Contradicciones internas — §10.1</t>
  </si>
  <si>
    <t>Tutor «a estudiantes y docentes» [165][505] vs. docente sin mensajes individuales [173]</t>
  </si>
  <si>
    <t>C2</t>
  </si>
  <si>
    <t>Revisión periódica docente del contenido [396] vs. docente no ve mensajes [173]</t>
  </si>
  <si>
    <t>C3</t>
  </si>
  <si>
    <t>Recomendaciones por estudiante [737][739] vs. [173] — reformular como *conversación vs. recomendación*</t>
  </si>
  <si>
    <t>C4</t>
  </si>
  <si>
    <t>React+Next.js [225][804] vs. React+TS sin SSR [296-297][417-418]</t>
  </si>
  <si>
    <t>C5</t>
  </si>
  <si>
    <t>Node.js intermediario [419-420] vs. Laravel+PostgreSQL [228-229][415-416]</t>
  </si>
  <si>
    <t>C6</t>
  </si>
  <si>
    <t>«Genera PDF y CSV» en presente [236] vs. requisito pendiente [732]</t>
  </si>
  <si>
    <t>C7</t>
  </si>
  <si>
    <t>«Se generó reportes en PDF» [390] vs. [732-733]</t>
  </si>
  <si>
    <t>C8</t>
  </si>
  <si>
    <t>Criterio 75 % automático [173] vs. revisión humana [396]</t>
  </si>
  <si>
    <t>El 75 % ya es medible (D5); queda decidir que dice el informe sobre la revision humana.</t>
  </si>
  <si>
    <t>K1</t>
  </si>
  <si>
    <t>Contradicciones con el sistema — §10.2</t>
  </si>
  <si>
    <t>Recomendaciones generadas por IA [122][222][255][737] → según D1</t>
  </si>
  <si>
    <t>Ya no es contradiccion: D1 se resolvio por codigo.</t>
  </si>
  <si>
    <t>K2</t>
  </si>
  <si>
    <t>Ítems con tema/indicador/dificultad [171][222] → según D2</t>
  </si>
  <si>
    <t>Las columnas existen (D2).</t>
  </si>
  <si>
    <t>K3</t>
  </si>
  <si>
    <t>Personalización por área concreta («comprensión de lectura») [263][276] → por materia</t>
  </si>
  <si>
    <t>El diagnostico del tutor ya habla por tema (D2).</t>
  </si>
  <si>
    <t>K4</t>
  </si>
  <si>
    <t>«Recursos personalizados» (Figura 10) → por grado y dificultad, no por materia</t>
  </si>
  <si>
    <t>El recurso sugerido se acota por materia, grado y dificultad (D2).</t>
  </si>
  <si>
    <t>K5</t>
  </si>
  <si>
    <t>Aviso de IA en cada intervención [397] → según D4</t>
  </si>
  <si>
    <t>El sistema envia el aviso en ai_notice (D4).</t>
  </si>
  <si>
    <t>K6</t>
  </si>
  <si>
    <t>«Registrará incidencias» / 75 % [173] → según D5</t>
  </si>
  <si>
    <t>Hay tabla de incidencias y el 75 % se calcula (D5).</t>
  </si>
  <si>
    <t>K7</t>
  </si>
  <si>
    <t>«2–4 oraciones» [173] vs. prompt de «máximo 4 párrafos»</t>
  </si>
  <si>
    <t>K8</t>
  </si>
  <si>
    <t>«GPT-4 variante ligera» [222] → gpt-4o-mini (variante de GPT-4o)</t>
  </si>
  <si>
    <t>K9</t>
  </si>
  <si>
    <t>Sesión de 60 min [758] → según D3</t>
  </si>
  <si>
    <t>El sistema caduca por inactividad a los 60 min (D3).</t>
  </si>
  <si>
    <t>K10</t>
  </si>
  <si>
    <t>«OpenAPI 5.0» [771] → OpenAPI 3.0 (la 5.0 no existe)</t>
  </si>
  <si>
    <t>K11</t>
  </si>
  <si>
    <t>Tres roles [720] → cuatro (ver I-7)</t>
  </si>
  <si>
    <t>Cap. 3</t>
  </si>
  <si>
    <t>Capítulos</t>
  </si>
  <si>
    <t>Metodología</t>
  </si>
  <si>
    <t>• Scrum e instrumentos de recolección</t>
  </si>
  <si>
    <t>Cap. 5</t>
  </si>
  <si>
    <t>Conclusiones y recomendaciones</t>
  </si>
  <si>
    <t>Cap. 7</t>
  </si>
  <si>
    <t>Validación y resultados del piloto</t>
  </si>
  <si>
    <t>• requiere E4</t>
  </si>
  <si>
    <t>E4</t>
  </si>
  <si>
    <t>Cap. 8</t>
  </si>
  <si>
    <t>Discusión de resultados</t>
  </si>
  <si>
    <t>Cap. 9</t>
  </si>
  <si>
    <t>Aspectos éticos, legales y de privacidad</t>
  </si>
  <si>
    <t>• datos de menores, tutor IA, Ley 8968</t>
  </si>
  <si>
    <t>Cap. 10</t>
  </si>
  <si>
    <t>Trabajo futuro y escalabilidad</t>
  </si>
  <si>
    <t>Cap. 11</t>
  </si>
  <si>
    <t>Gestión del proyecto</t>
  </si>
  <si>
    <t>• sprints, hitos, riesgos</t>
  </si>
  <si>
    <t>Cap. 1</t>
  </si>
  <si>
    <t>Introducción</t>
  </si>
  <si>
    <t>• completar (parcial)</t>
  </si>
  <si>
    <t>Cap. 2</t>
  </si>
  <si>
    <t>Marco teórico</t>
  </si>
  <si>
    <t>Cap. 4</t>
  </si>
  <si>
    <t>Resultados</t>
  </si>
  <si>
    <t>Cap. 6</t>
  </si>
  <si>
    <t>Implementación</t>
  </si>
  <si>
    <t>• completar y actualizar diagramas (parcial)</t>
  </si>
  <si>
    <t>E1</t>
  </si>
  <si>
    <t>Mockups / prototipo visual en Figma</t>
  </si>
  <si>
    <t>E2</t>
  </si>
  <si>
    <t>Banco de ítems: mínimo 60 preguntas reales con metadatos</t>
  </si>
  <si>
    <t>• requiere D2</t>
  </si>
  <si>
    <t>Desbloqueada el 13/09/2026: topic, indicator y difficulty ya existen en questions (D2).</t>
  </si>
  <si>
    <t>E3</t>
  </si>
  <si>
    <t>Acta del taller de co-diseño con docentes</t>
  </si>
  <si>
    <t>Piloto con usuarios reales</t>
  </si>
  <si>
    <t>• (docentes y estudiantes) — requiere P1–P3</t>
  </si>
  <si>
    <t>P1–P3</t>
  </si>
  <si>
    <t>E5</t>
  </si>
  <si>
    <t>Rúbricas para preguntas abiertas</t>
  </si>
  <si>
    <t>E6</t>
  </si>
  <si>
    <t>Mini-guía para crear nuevos ítems</t>
  </si>
  <si>
    <t>E7</t>
  </si>
  <si>
    <t>Manual de usuario básico en línea</t>
  </si>
  <si>
    <t>E8</t>
  </si>
  <si>
    <t>Cronograma / bitácora del proyecto</t>
  </si>
  <si>
    <t>E9</t>
  </si>
  <si>
    <t>Anexo 1: encuestas a docentes y estudiantes</t>
  </si>
  <si>
    <t>• (diseñar y aplicar)</t>
  </si>
  <si>
    <t>E10</t>
  </si>
  <si>
    <t>Anexo 2: guía de entrevistas semi-estructuradas</t>
  </si>
  <si>
    <t>O1</t>
  </si>
  <si>
    <t>Notificar al estudiante que tiene un examen disponible</t>
  </si>
  <si>
    <t>• (hoy no hay evento ni correo) — ESTADO_Y_PENDIENTES.md §3.1</t>
  </si>
  <si>
    <t>O2</t>
  </si>
  <si>
    <t>Adaptar el formato de la respuesta del tutor al estilo de aprendizaje</t>
  </si>
  <si>
    <t>• (hoy solo cambia el tono) — §3.2</t>
  </si>
  <si>
    <t>O3</t>
  </si>
  <si>
    <t>Bajar el coste fijo del submit de 22 a ~12 queries</t>
  </si>
  <si>
    <t>• (~170 entregas/s). Perfilar antes; candidato: recalcFromAttempts a la cola — ANALISIS_CONCURRENCIA.md §5.5</t>
  </si>
  <si>
    <t>O4</t>
  </si>
  <si>
    <t>Comando schema:check-drift para CI</t>
  </si>
  <si>
    <t>O5</t>
  </si>
  <si>
    <t>exclude_student_user_ids en POST /bulk/reassign-group</t>
  </si>
  <si>
    <t>O6</t>
  </si>
  <si>
    <t>Cerrar el residual de ~13 ms de temporización en /password/forgot</t>
  </si>
  <si>
    <t>O7</t>
  </si>
  <si>
    <t>Mover las llamadas a OpenAI a la cola</t>
  </si>
  <si>
    <t>• (solo si crece el volumen del tutor)</t>
  </si>
  <si>
    <t>O8</t>
  </si>
  <si>
    <t>Relaciones Eloquent faltantes</t>
  </si>
  <si>
    <t>• (belongsTo(Institution) en 8 modelos, hasMany en Institution y Subject) — solo si el diagrama de clases se dibuja leyendo modelos — §3.5</t>
  </si>
  <si>
    <t>B1</t>
  </si>
  <si>
    <t>Exportar los reportes también en XLSX</t>
  </si>
  <si>
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</si>
  <si>
    <t>Rutas results.xlsx e history.xlsx, mismo dataset y permisos que el CSV. 382 tests pasando, 119 endpoints. Queda abierto B1a (zona horaria) y B1b (informe).</t>
  </si>
  <si>
    <t>B1.1</t>
  </si>
  <si>
    <t>Definir el dataset de cada reporte (cabeceras + filas) una sola vez y que CSV y XLSX lo consuman, para que no diverjan</t>
  </si>
  <si>
    <t>B1.2</t>
  </si>
  <si>
    <t>Escribir las celdas con tipo explícito (setCellValueExplicit): notas como número, submitted_at como fecha de Excel y el resto como texto. setCellValue() convierte en fórmula todo texto que empiece por =</t>
  </si>
  <si>
    <t>B1.3</t>
  </si>
  <si>
    <t>Tras escribir: $book-&gt;disconnectWorksheets(), porque bajo Octane el worker sobrevive a la petición</t>
  </si>
  <si>
    <t>B1.4</t>
  </si>
  <si>
    <t>A diferencia del CSV, PhpSpreadsheet arma el libro en memoria; con estos volúmenes son pocos MB, pero hay que dejarlo documentado</t>
  </si>
  <si>
    <t>B1.5</t>
  </si>
  <si>
    <t>Tests: tipo de contenido, cabeceras iguales al CSV, tipos de celda, texto con = guardado como texto, 403 para docente sin acceso, ruta en ProtectedRoutesRequireAuthTest y presupuesto de queries plano (QueryBudgetTest)</t>
  </si>
  <si>
    <t>B1.6</t>
  </si>
  <si>
    <t>Regenerar OpenAPI (php artisan openapi:generate) y Postman (php postman/generate_postman_collection.php)</t>
  </si>
  <si>
    <t>B1.7</t>
  </si>
  <si>
    <t>Actualizar ESTADO_Y_PENDIENTES.md §2 Reportes y §6 Referencia de endpoints</t>
  </si>
  <si>
    <t>B1a</t>
  </si>
  <si>
    <t>Zona horaria de los reportes</t>
  </si>
  <si>
    <t>• Las fechas salen en UTC en CSV, XLSX y JSON.
• institutions.settings.timezone existe pero ningún reporte lo lee.
• Decidir si se convierte a la hora del centro, y entonces en los tres formatos a la vez.</t>
  </si>
  <si>
    <t>CHECKLIST_PENDIENTES.md B1</t>
  </si>
  <si>
    <t>B1b</t>
  </si>
  <si>
    <t>Informe: añadir XLSX donde dice «PDF y CSV»</t>
  </si>
  <si>
    <t>• Pasajes [236], [390] y [732].
• Ya está implementado, así que la frase puede ir en presente.</t>
  </si>
  <si>
    <t>P2.8</t>
  </si>
  <si>
    <t>QUEUE_CONNECTION=database (no sync)</t>
  </si>
  <si>
    <t>• Con sync, la llamada a OpenAI vuelve dentro de la peticion y D1 deja de tener sentido.</t>
  </si>
  <si>
    <t>CHECKLIST_PENDIENTES.md P2</t>
  </si>
  <si>
    <t>D2a</t>
  </si>
  <si>
    <t>Vigilar la dispersion de temas en el piloto</t>
  </si>
  <si>
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</si>
  <si>
    <t>ESTADO_Y_PENDIENTES.md, pendientes 13/09/2026</t>
  </si>
  <si>
    <t>F17</t>
  </si>
  <si>
    <t>Panel de metricas del tutor IA para el superadmin</t>
  </si>
  <si>
    <t>• Datos: GET /platform/ai-tutor-metrics (ventana, totales, validation_pass_rate, por tipo, por etapa, por institucion y serie diaria).
• El umbral de [173] es 75 %: conviene que se vea si se cumple o no de un vistazo.
• Solo agregados: no hay ningun dato de alumno que mostrar.</t>
  </si>
  <si>
    <t>ESTADO_Y_PENDIENTES.md, seccion Aviso de IA e incidencias</t>
  </si>
  <si>
    <t>S5</t>
  </si>
  <si>
    <t>Analiticas por materia acotadas al docente</t>
  </si>
  <si>
    <t>• Hoy devuelve el rendimiento de todas las materias del centro, incluidas las que no imparte.
• Son agregados sin nombres y [173] le concede «metricas agregadas», asi que se sostiene.
• Pero materiasDelDocente() existe y acotarlo seria coherente con el resto.</t>
  </si>
  <si>
    <t>ESTADO_Y_PENDIENTES.md, Revision de alcance por rol</t>
  </si>
  <si>
    <t>El docente ve solo las materias que imparte (materiasDelDocente()); el admin sigue viendolas todas. Un docente sin asignaciones recibe lista vacia.</t>
  </si>
  <si>
    <t>S6</t>
  </si>
  <si>
    <t>Autoria para editar y borrar calendario y recursos</t>
  </si>
  <si>
    <t>• PUT/DELETE de calendar-events y study-resources no miran created_by.
• No es fuga de datos (son escrituras y el tenant esta cerrado), pero si una puerta sobre trabajo ajeno.
• Decision de fondo: el calendario y la biblioteca son del centro o de quien los creo?</t>
  </si>
  <si>
    <t>Cada entrada es de quien la creo. El admin queda fuera de la regla (responde por la institucion). Las entradas sin autor (created_by nulo) solo las toca el admin. Regla en el trait ExigeAutoria.</t>
  </si>
  <si>
    <t>B2</t>
  </si>
  <si>
    <t>Primaria 1-6: un solo rango de grados, y el tutor adapta el registro</t>
  </si>
  <si>
    <t>• Habia tres rangos a mano que no coincidian: config 6-12, GroupController 6-12, ExamController 7-12, y los prompts decian «primaria».
• Consecuencia real: no se podia crear un examen de 6.o aunque si el grupo.
• Ahora los tres salen de config('academic.grade_*'), con 1-6 por defecto. Las factories tambien.
• El tutor recibe una instruccion de registro por franja (1-2, 3-4, 5-6, y una conservadora sin grado) en las TRES superficies: chat, diagnostico y recomendaciones.</t>
  </si>
  <si>
    <t>ESTADO_Y_PENDIENTES.md, Primaria 1-6</t>
  </si>
  <si>
    <t>Textos de las franjas en config/openai.php (tutor.registro); logica en App\Services\AI\RegistroPorGrado.</t>
  </si>
  <si>
    <t>B2a</t>
  </si>
  <si>
    <t>Decidir que se hace con los datos fuera de rango</t>
  </si>
  <si>
    <t>• En la base remota hay estudiantes en grados 10 y 11, grupos en 11 y examenes en 10, mas 60 estudiantes con grado NULL.
• La validacion solo actua al escribir, asi que nada se rompe; pero esas filas ya no describen un centro de primaria.
• Se limpian, se remapean o se dejan como datos de prueba hasta el piloto (E4)?</t>
  </si>
  <si>
    <t>Lo deja abierto B2.</t>
  </si>
</sst>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0"/>
      <i val="0"/>
      <strike val="0"/>
      <u val="none"/>
      <sz val="11"/>
      <color rgb="FF555555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0"/>
      <i val="1"/>
      <strike val="0"/>
      <u val="none"/>
      <sz val="11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/>
    </xf>
    <xf xfId="0" fontId="2" numFmtId="0" fillId="0" borderId="1" applyFont="1" applyNumberFormat="0" applyFill="0" applyBorder="1" applyAlignment="1">
      <alignment vertical="top" textRotation="0" wrapText="true" shrinkToFit="false"/>
    </xf>
    <xf xfId="0" fontId="3" numFmtId="0" fillId="0" borderId="0" applyFont="1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 indent="2"/>
    </xf>
    <xf xfId="0" fontId="2" numFmtId="0" fillId="0" borderId="1" applyFont="1" applyNumberFormat="0" applyFill="0" applyBorder="1" applyAlignment="1">
      <alignment vertical="top" textRotation="0" wrapText="true" shrinkToFit="false" indent="2"/>
    </xf>
    <xf xfId="0" fontId="0" numFmtId="164" fillId="0" borderId="0" applyFont="0" applyNumberFormat="1" applyFill="0" applyBorder="0" applyAlignment="1">
      <alignment vertical="top" textRotation="0" wrapText="true" shrinkToFit="false"/>
    </xf>
    <xf xfId="0" fontId="2" numFmtId="164" fillId="0" borderId="0" applyFont="1" applyNumberFormat="1" applyFill="0" applyBorder="0" applyAlignment="1">
      <alignment vertical="top" textRotation="0" wrapText="true" shrinkToFit="false"/>
    </xf>
    <xf xfId="0" fontId="2" numFmtId="164" fillId="0" borderId="1" applyFont="1" applyNumberFormat="1" applyFill="0" applyBorder="1" applyAlignment="1">
      <alignment vertical="top" textRotation="0" wrapText="true" shrinkToFit="false"/>
    </xf>
    <xf xfId="0" fontId="0" numFmtId="164" fillId="0" borderId="0" applyFont="0" applyNumberFormat="1" applyFill="0" applyBorder="0" applyAlignment="0"/>
    <xf xfId="0" fontId="4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1" numFmtId="0" fillId="2" borderId="0" applyFont="1" applyNumberFormat="0" applyFill="1" applyBorder="0" applyAlignment="0"/>
    <xf xfId="0" fontId="3" numFmtId="0" fillId="0" borderId="2" applyFont="1" applyNumberFormat="0" applyFill="0" applyBorder="1" applyAlignment="0"/>
    <xf xfId="0" fontId="0" numFmtId="9" fillId="0" borderId="0" applyFont="0" applyNumberFormat="1" applyFill="0" applyBorder="0" applyAlignment="0"/>
    <xf xfId="0" fontId="3" numFmtId="9" fillId="0" borderId="2" applyFont="1" applyNumberFormat="1" applyFill="0" applyBorder="1" applyAlignment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H21"/>
  <sheetViews>
    <sheetView tabSelected="0" workbookViewId="0" showGridLines="true" showRowColHeaders="1">
      <selection activeCell="H17" sqref="H17:H20"/>
    </sheetView>
  </sheetViews>
  <sheetFormatPr defaultRowHeight="14.4" outlineLevelRow="0" outlineLevelCol="0"/>
  <cols>
    <col min="1" max="1" width="42" customWidth="true" style="0"/>
    <col min="2" max="2" width="12" customWidth="true" style="0"/>
    <col min="3" max="3" width="12" customWidth="true" style="0"/>
    <col min="4" max="4" width="12" customWidth="true" style="0"/>
    <col min="5" max="5" width="12" customWidth="true" style="0"/>
    <col min="6" max="6" width="12" customWidth="true" style="0"/>
    <col min="7" max="7" width="12" customWidth="true" style="0"/>
    <col min="8" max="8" width="12" customWidth="true" style="0"/>
  </cols>
  <sheetData>
    <row r="1" spans="1:8">
      <c r="A1" s="12" t="s">
        <v>0</v>
      </c>
    </row>
    <row r="2" spans="1:8">
      <c r="A2" s="13" t="s">
        <v>1</v>
      </c>
    </row>
    <row r="4" spans="1:8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8</v>
      </c>
      <c r="H4" s="14" t="s">
        <v>9</v>
      </c>
    </row>
    <row r="5" spans="1:8">
      <c r="A5" t="s">
        <v>10</v>
      </c>
      <c r="B5">
        <f>COUNTIFS(Checklist!$C$2:$C$327,$A5,Checklist!$B$2:$B$327,"Tarea")</f>
        <v>9</v>
      </c>
      <c r="C5">
        <f>COUNTIFS(Checklist!$C$2:$C$327,$A5,Checklist!$B$2:$B$327,"Tarea",Checklist!$J$2:$J$327,"Pendiente")</f>
        <v>1</v>
      </c>
      <c r="D5">
        <f>COUNTIFS(Checklist!$C$2:$C$327,$A5,Checklist!$B$2:$B$327,"Tarea",Checklist!$J$2:$J$327,"En curso")</f>
        <v>0</v>
      </c>
      <c r="E5">
        <f>COUNTIFS(Checklist!$C$2:$C$327,$A5,Checklist!$B$2:$B$327,"Tarea",Checklist!$J$2:$J$327,"Hecho")</f>
        <v>8</v>
      </c>
      <c r="F5">
        <f>COUNTIFS(Checklist!$C$2:$C$327,$A5,Checklist!$B$2:$B$327,"Tarea",Checklist!$J$2:$J$327,"Descartado")</f>
        <v>0</v>
      </c>
      <c r="G5">
        <f>E5+F5</f>
        <v>8</v>
      </c>
      <c r="H5" s="16">
        <f>IF(B5=0,0,G5/B5)</f>
        <v>0.88888888888889</v>
      </c>
    </row>
    <row r="6" spans="1:8">
      <c r="A6" t="s">
        <v>11</v>
      </c>
      <c r="B6">
        <f>COUNTIFS(Checklist!$C$2:$C$327,$A6,Checklist!$B$2:$B$327,"Tarea")</f>
        <v>6</v>
      </c>
      <c r="C6">
        <f>COUNTIFS(Checklist!$C$2:$C$327,$A6,Checklist!$B$2:$B$327,"Tarea",Checklist!$J$2:$J$327,"Pendiente")</f>
        <v>2</v>
      </c>
      <c r="D6">
        <f>COUNTIFS(Checklist!$C$2:$C$327,$A6,Checklist!$B$2:$B$327,"Tarea",Checklist!$J$2:$J$327,"En curso")</f>
        <v>0</v>
      </c>
      <c r="E6">
        <f>COUNTIFS(Checklist!$C$2:$C$327,$A6,Checklist!$B$2:$B$327,"Tarea",Checklist!$J$2:$J$327,"Hecho")</f>
        <v>4</v>
      </c>
      <c r="F6">
        <f>COUNTIFS(Checklist!$C$2:$C$327,$A6,Checklist!$B$2:$B$327,"Tarea",Checklist!$J$2:$J$327,"Descartado")</f>
        <v>0</v>
      </c>
      <c r="G6">
        <f>E6+F6</f>
        <v>4</v>
      </c>
      <c r="H6" s="16">
        <f>IF(B6=0,0,G6/B6)</f>
        <v>0.66666666666667</v>
      </c>
    </row>
    <row r="7" spans="1:8">
      <c r="A7" t="s">
        <v>12</v>
      </c>
      <c r="B7">
        <f>COUNTIFS(Checklist!$C$2:$C$327,$A7,Checklist!$B$2:$B$327,"Tarea")</f>
        <v>8</v>
      </c>
      <c r="C7">
        <f>COUNTIFS(Checklist!$C$2:$C$327,$A7,Checklist!$B$2:$B$327,"Tarea",Checklist!$J$2:$J$327,"Pendiente")</f>
        <v>8</v>
      </c>
      <c r="D7">
        <f>COUNTIFS(Checklist!$C$2:$C$327,$A7,Checklist!$B$2:$B$327,"Tarea",Checklist!$J$2:$J$327,"En curso")</f>
        <v>0</v>
      </c>
      <c r="E7">
        <f>COUNTIFS(Checklist!$C$2:$C$327,$A7,Checklist!$B$2:$B$327,"Tarea",Checklist!$J$2:$J$327,"Hecho")</f>
        <v>0</v>
      </c>
      <c r="F7">
        <f>COUNTIFS(Checklist!$C$2:$C$327,$A7,Checklist!$B$2:$B$327,"Tarea",Checklist!$J$2:$J$327,"Descartado")</f>
        <v>0</v>
      </c>
      <c r="G7">
        <f>E7+F7</f>
        <v>0</v>
      </c>
      <c r="H7" s="16">
        <f>IF(B7=0,0,G7/B7)</f>
        <v>0</v>
      </c>
    </row>
    <row r="8" spans="1:8">
      <c r="A8" t="s">
        <v>13</v>
      </c>
      <c r="B8">
        <f>COUNTIFS(Checklist!$C$2:$C$327,$A8,Checklist!$B$2:$B$327,"Tarea")</f>
        <v>4</v>
      </c>
      <c r="C8">
        <f>COUNTIFS(Checklist!$C$2:$C$327,$A8,Checklist!$B$2:$B$327,"Tarea",Checklist!$J$2:$J$327,"Pendiente")</f>
        <v>4</v>
      </c>
      <c r="D8">
        <f>COUNTIFS(Checklist!$C$2:$C$327,$A8,Checklist!$B$2:$B$327,"Tarea",Checklist!$J$2:$J$327,"En curso")</f>
        <v>0</v>
      </c>
      <c r="E8">
        <f>COUNTIFS(Checklist!$C$2:$C$327,$A8,Checklist!$B$2:$B$327,"Tarea",Checklist!$J$2:$J$327,"Hecho")</f>
        <v>0</v>
      </c>
      <c r="F8">
        <f>COUNTIFS(Checklist!$C$2:$C$327,$A8,Checklist!$B$2:$B$327,"Tarea",Checklist!$J$2:$J$327,"Descartado")</f>
        <v>0</v>
      </c>
      <c r="G8">
        <f>E8+F8</f>
        <v>0</v>
      </c>
      <c r="H8" s="16">
        <f>IF(B8=0,0,G8/B8)</f>
        <v>0</v>
      </c>
    </row>
    <row r="9" spans="1:8">
      <c r="A9" t="s">
        <v>14</v>
      </c>
      <c r="B9">
        <f>COUNTIFS(Checklist!$C$2:$C$327,$A9,Checklist!$B$2:$B$327,"Tarea")</f>
        <v>17</v>
      </c>
      <c r="C9">
        <f>COUNTIFS(Checklist!$C$2:$C$327,$A9,Checklist!$B$2:$B$327,"Tarea",Checklist!$J$2:$J$327,"Pendiente")</f>
        <v>17</v>
      </c>
      <c r="D9">
        <f>COUNTIFS(Checklist!$C$2:$C$327,$A9,Checklist!$B$2:$B$327,"Tarea",Checklist!$J$2:$J$327,"En curso")</f>
        <v>0</v>
      </c>
      <c r="E9">
        <f>COUNTIFS(Checklist!$C$2:$C$327,$A9,Checklist!$B$2:$B$327,"Tarea",Checklist!$J$2:$J$327,"Hecho")</f>
        <v>0</v>
      </c>
      <c r="F9">
        <f>COUNTIFS(Checklist!$C$2:$C$327,$A9,Checklist!$B$2:$B$327,"Tarea",Checklist!$J$2:$J$327,"Descartado")</f>
        <v>0</v>
      </c>
      <c r="G9">
        <f>E9+F9</f>
        <v>0</v>
      </c>
      <c r="H9" s="16">
        <f>IF(B9=0,0,G9/B9)</f>
        <v>0</v>
      </c>
    </row>
    <row r="10" spans="1:8">
      <c r="A10" t="s">
        <v>15</v>
      </c>
      <c r="B10">
        <f>COUNTIFS(Checklist!$C$2:$C$327,$A10,Checklist!$B$2:$B$327,"Tarea")</f>
        <v>41</v>
      </c>
      <c r="C10">
        <f>COUNTIFS(Checklist!$C$2:$C$327,$A10,Checklist!$B$2:$B$327,"Tarea",Checklist!$J$2:$J$327,"Pendiente")</f>
        <v>34</v>
      </c>
      <c r="D10">
        <f>COUNTIFS(Checklist!$C$2:$C$327,$A10,Checklist!$B$2:$B$327,"Tarea",Checklist!$J$2:$J$327,"En curso")</f>
        <v>0</v>
      </c>
      <c r="E10">
        <f>COUNTIFS(Checklist!$C$2:$C$327,$A10,Checklist!$B$2:$B$327,"Tarea",Checklist!$J$2:$J$327,"Hecho")</f>
        <v>0</v>
      </c>
      <c r="F10">
        <f>COUNTIFS(Checklist!$C$2:$C$327,$A10,Checklist!$B$2:$B$327,"Tarea",Checklist!$J$2:$J$327,"Descartado")</f>
        <v>7</v>
      </c>
      <c r="G10">
        <f>E10+F10</f>
        <v>7</v>
      </c>
      <c r="H10" s="16">
        <f>IF(B10=0,0,G10/B10)</f>
        <v>0.17073170731707</v>
      </c>
    </row>
    <row r="11" spans="1:8">
      <c r="A11" t="s">
        <v>16</v>
      </c>
      <c r="B11">
        <f>COUNTIFS(Checklist!$C$2:$C$327,$A11,Checklist!$B$2:$B$327,"Tarea")</f>
        <v>10</v>
      </c>
      <c r="C11">
        <f>COUNTIFS(Checklist!$C$2:$C$327,$A11,Checklist!$B$2:$B$327,"Tarea",Checklist!$J$2:$J$327,"Pendiente")</f>
        <v>10</v>
      </c>
      <c r="D11">
        <f>COUNTIFS(Checklist!$C$2:$C$327,$A11,Checklist!$B$2:$B$327,"Tarea",Checklist!$J$2:$J$327,"En curso")</f>
        <v>0</v>
      </c>
      <c r="E11">
        <f>COUNTIFS(Checklist!$C$2:$C$327,$A11,Checklist!$B$2:$B$327,"Tarea",Checklist!$J$2:$J$327,"Hecho")</f>
        <v>0</v>
      </c>
      <c r="F11">
        <f>COUNTIFS(Checklist!$C$2:$C$327,$A11,Checklist!$B$2:$B$327,"Tarea",Checklist!$J$2:$J$327,"Descartado")</f>
        <v>0</v>
      </c>
      <c r="G11">
        <f>E11+F11</f>
        <v>0</v>
      </c>
      <c r="H11" s="16">
        <f>IF(B11=0,0,G11/B11)</f>
        <v>0</v>
      </c>
    </row>
    <row r="12" spans="1:8">
      <c r="A12" t="s">
        <v>17</v>
      </c>
      <c r="B12">
        <f>COUNTIFS(Checklist!$C$2:$C$327,$A12,Checklist!$B$2:$B$327,"Tarea")</f>
        <v>8</v>
      </c>
      <c r="C12">
        <f>COUNTIFS(Checklist!$C$2:$C$327,$A12,Checklist!$B$2:$B$327,"Tarea",Checklist!$J$2:$J$327,"Pendiente")</f>
        <v>8</v>
      </c>
      <c r="D12">
        <f>COUNTIFS(Checklist!$C$2:$C$327,$A12,Checklist!$B$2:$B$327,"Tarea",Checklist!$J$2:$J$327,"En curso")</f>
        <v>0</v>
      </c>
      <c r="E12">
        <f>COUNTIFS(Checklist!$C$2:$C$327,$A12,Checklist!$B$2:$B$327,"Tarea",Checklist!$J$2:$J$327,"Hecho")</f>
        <v>0</v>
      </c>
      <c r="F12">
        <f>COUNTIFS(Checklist!$C$2:$C$327,$A12,Checklist!$B$2:$B$327,"Tarea",Checklist!$J$2:$J$327,"Descartado")</f>
        <v>0</v>
      </c>
      <c r="G12">
        <f>E12+F12</f>
        <v>0</v>
      </c>
      <c r="H12" s="16">
        <f>IF(B12=0,0,G12/B12)</f>
        <v>0</v>
      </c>
    </row>
    <row r="13" spans="1:8">
      <c r="A13" t="s">
        <v>18</v>
      </c>
      <c r="B13">
        <f>COUNTIFS(Checklist!$C$2:$C$327,$A13,Checklist!$B$2:$B$327,"Tarea")</f>
        <v>5</v>
      </c>
      <c r="C13">
        <f>COUNTIFS(Checklist!$C$2:$C$327,$A13,Checklist!$B$2:$B$327,"Tarea",Checklist!$J$2:$J$327,"Pendiente")</f>
        <v>3</v>
      </c>
      <c r="D13">
        <f>COUNTIFS(Checklist!$C$2:$C$327,$A13,Checklist!$B$2:$B$327,"Tarea",Checklist!$J$2:$J$327,"En curso")</f>
        <v>0</v>
      </c>
      <c r="E13">
        <f>COUNTIFS(Checklist!$C$2:$C$327,$A13,Checklist!$B$2:$B$327,"Tarea",Checklist!$J$2:$J$327,"Hecho")</f>
        <v>2</v>
      </c>
      <c r="F13">
        <f>COUNTIFS(Checklist!$C$2:$C$327,$A13,Checklist!$B$2:$B$327,"Tarea",Checklist!$J$2:$J$327,"Descartado")</f>
        <v>0</v>
      </c>
      <c r="G13">
        <f>E13+F13</f>
        <v>2</v>
      </c>
      <c r="H13" s="16">
        <f>IF(B13=0,0,G13/B13)</f>
        <v>0.4</v>
      </c>
    </row>
    <row r="14" spans="1:8">
      <c r="A14" s="15" t="s">
        <v>3</v>
      </c>
      <c r="B14" s="15">
        <f>SUM(B5:B13)</f>
        <v>108</v>
      </c>
      <c r="C14" s="15">
        <f>SUM(C5:C13)</f>
        <v>87</v>
      </c>
      <c r="D14" s="15">
        <f>SUM(D5:D13)</f>
        <v>0</v>
      </c>
      <c r="E14" s="15">
        <f>SUM(E5:E13)</f>
        <v>14</v>
      </c>
      <c r="F14" s="15">
        <f>SUM(F5:F13)</f>
        <v>7</v>
      </c>
      <c r="G14" s="15">
        <f>SUM(G5:G13)</f>
        <v>21</v>
      </c>
      <c r="H14" s="17">
        <f>IF(B14=0,0,G14/B14)</f>
        <v>0.19444444444444</v>
      </c>
    </row>
    <row r="16" spans="1:8">
      <c r="A16" s="14" t="s">
        <v>19</v>
      </c>
      <c r="B16" s="14" t="s">
        <v>3</v>
      </c>
      <c r="C16" s="14" t="s">
        <v>4</v>
      </c>
      <c r="D16" s="14" t="s">
        <v>5</v>
      </c>
      <c r="E16" s="14" t="s">
        <v>6</v>
      </c>
      <c r="F16" s="14" t="s">
        <v>7</v>
      </c>
      <c r="G16" s="14" t="s">
        <v>8</v>
      </c>
      <c r="H16" s="14" t="s">
        <v>9</v>
      </c>
    </row>
    <row r="17" spans="1:8">
      <c r="A17" t="s">
        <v>20</v>
      </c>
      <c r="B17">
        <f>COUNTIFS(Checklist!$E$2:$E$327,$A17,Checklist!$B$2:$B$327,"Tarea")</f>
        <v>25</v>
      </c>
      <c r="C17">
        <f>COUNTIFS(Checklist!$E$2:$E$327,$A17,Checklist!$B$2:$B$327,"Tarea",Checklist!$J$2:$J$327,"Pendiente")</f>
        <v>20</v>
      </c>
      <c r="D17">
        <f>COUNTIFS(Checklist!$E$2:$E$327,$A17,Checklist!$B$2:$B$327,"Tarea",Checklist!$J$2:$J$327,"En curso")</f>
        <v>0</v>
      </c>
      <c r="E17">
        <f>COUNTIFS(Checklist!$E$2:$E$327,$A17,Checklist!$B$2:$B$327,"Tarea",Checklist!$J$2:$J$327,"Hecho")</f>
        <v>5</v>
      </c>
      <c r="F17">
        <f>COUNTIFS(Checklist!$E$2:$E$327,$A17,Checklist!$B$2:$B$327,"Tarea",Checklist!$J$2:$J$327,"Descartado")</f>
        <v>0</v>
      </c>
      <c r="G17">
        <f>E17+F17</f>
        <v>5</v>
      </c>
      <c r="H17" s="16">
        <f>IF(B17=0,0,G17/B17)</f>
        <v>0.2</v>
      </c>
    </row>
    <row r="18" spans="1:8">
      <c r="A18" t="s">
        <v>21</v>
      </c>
      <c r="B18">
        <f>COUNTIFS(Checklist!$E$2:$E$327,$A18,Checklist!$B$2:$B$327,"Tarea")</f>
        <v>16</v>
      </c>
      <c r="C18">
        <f>COUNTIFS(Checklist!$E$2:$E$327,$A18,Checklist!$B$2:$B$327,"Tarea",Checklist!$J$2:$J$327,"Pendiente")</f>
        <v>14</v>
      </c>
      <c r="D18">
        <f>COUNTIFS(Checklist!$E$2:$E$327,$A18,Checklist!$B$2:$B$327,"Tarea",Checklist!$J$2:$J$327,"En curso")</f>
        <v>0</v>
      </c>
      <c r="E18">
        <f>COUNTIFS(Checklist!$E$2:$E$327,$A18,Checklist!$B$2:$B$327,"Tarea",Checklist!$J$2:$J$327,"Hecho")</f>
        <v>2</v>
      </c>
      <c r="F18">
        <f>COUNTIFS(Checklist!$E$2:$E$327,$A18,Checklist!$B$2:$B$327,"Tarea",Checklist!$J$2:$J$327,"Descartado")</f>
        <v>0</v>
      </c>
      <c r="G18">
        <f>E18+F18</f>
        <v>2</v>
      </c>
      <c r="H18" s="16">
        <f>IF(B18=0,0,G18/B18)</f>
        <v>0.125</v>
      </c>
    </row>
    <row r="19" spans="1:8">
      <c r="A19" t="s">
        <v>22</v>
      </c>
      <c r="B19">
        <f>COUNTIFS(Checklist!$E$2:$E$327,$A19,Checklist!$B$2:$B$327,"Tarea")</f>
        <v>7</v>
      </c>
      <c r="C19">
        <f>COUNTIFS(Checklist!$E$2:$E$327,$A19,Checklist!$B$2:$B$327,"Tarea",Checklist!$J$2:$J$327,"Pendiente")</f>
        <v>3</v>
      </c>
      <c r="D19">
        <f>COUNTIFS(Checklist!$E$2:$E$327,$A19,Checklist!$B$2:$B$327,"Tarea",Checklist!$J$2:$J$327,"En curso")</f>
        <v>0</v>
      </c>
      <c r="E19">
        <f>COUNTIFS(Checklist!$E$2:$E$327,$A19,Checklist!$B$2:$B$327,"Tarea",Checklist!$J$2:$J$327,"Hecho")</f>
        <v>4</v>
      </c>
      <c r="F19">
        <f>COUNTIFS(Checklist!$E$2:$E$327,$A19,Checklist!$B$2:$B$327,"Tarea",Checklist!$J$2:$J$327,"Descartado")</f>
        <v>0</v>
      </c>
      <c r="G19">
        <f>E19+F19</f>
        <v>4</v>
      </c>
      <c r="H19" s="16">
        <f>IF(B19=0,0,G19/B19)</f>
        <v>0.57142857142857</v>
      </c>
    </row>
    <row r="20" spans="1:8">
      <c r="A20" t="s">
        <v>23</v>
      </c>
      <c r="B20">
        <f>COUNTIFS(Checklist!$E$2:$E$327,$A20,Checklist!$B$2:$B$327,"Tarea")</f>
        <v>60</v>
      </c>
      <c r="C20">
        <f>COUNTIFS(Checklist!$E$2:$E$327,$A20,Checklist!$B$2:$B$327,"Tarea",Checklist!$J$2:$J$327,"Pendiente")</f>
        <v>50</v>
      </c>
      <c r="D20">
        <f>COUNTIFS(Checklist!$E$2:$E$327,$A20,Checklist!$B$2:$B$327,"Tarea",Checklist!$J$2:$J$327,"En curso")</f>
        <v>0</v>
      </c>
      <c r="E20">
        <f>COUNTIFS(Checklist!$E$2:$E$327,$A20,Checklist!$B$2:$B$327,"Tarea",Checklist!$J$2:$J$327,"Hecho")</f>
        <v>3</v>
      </c>
      <c r="F20">
        <f>COUNTIFS(Checklist!$E$2:$E$327,$A20,Checklist!$B$2:$B$327,"Tarea",Checklist!$J$2:$J$327,"Descartado")</f>
        <v>7</v>
      </c>
      <c r="G20">
        <f>E20+F20</f>
        <v>10</v>
      </c>
      <c r="H20" s="16">
        <f>IF(B20=0,0,G20/B20)</f>
        <v>0.16666666666667</v>
      </c>
    </row>
    <row r="21" spans="1:8">
      <c r="A21" s="15" t="s">
        <v>3</v>
      </c>
      <c r="B21" s="15">
        <f>SUM(B17:B20)</f>
        <v>108</v>
      </c>
      <c r="C21" s="15">
        <f>SUM(C17:C20)</f>
        <v>87</v>
      </c>
      <c r="D21" s="15">
        <f>SUM(D17:D20)</f>
        <v>0</v>
      </c>
      <c r="E21" s="15">
        <f>SUM(E17:E20)</f>
        <v>14</v>
      </c>
      <c r="F21" s="15">
        <f>SUM(F17:F20)</f>
        <v>7</v>
      </c>
      <c r="G21" s="15">
        <f>SUM(G17:G20)</f>
        <v>21</v>
      </c>
      <c r="H21" s="17">
        <f>IF(B21=0,0,G21/B21)</f>
        <v>0.19444444444444</v>
      </c>
    </row>
  </sheetData>
  <conditionalFormatting sqref="H5:H13">
    <cfRule type="dataBar" priority="1">
      <formula/>
      <dataBar>
        <cfvo type="num" val="0"/>
        <cfvo type="num" val="1"/>
        <color rgb="FF6AA84F"/>
      </dataBar>
    </cfRule>
  </conditionalFormatting>
  <conditionalFormatting sqref="H17:H20">
    <cfRule type="dataBar" priority="2">
      <formula/>
      <dataBar>
        <cfvo type="num" val="0"/>
        <cfvo type="num" val="1"/>
        <color rgb="FF6AA84F"/>
      </dataBar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  <pageSetUpPr fitToPage="1"/>
  </sheetPr>
  <dimension ref="A1:L327"/>
  <sheetViews>
    <sheetView tabSelected="1" workbookViewId="0" showGridLines="true" showRowColHeaders="1">
      <pane xSplit="6" ySplit="1" activePane="bottomRight" state="frozen" topLeftCell="G2"/>
      <selection pane="bottomRight" activeCell="K136" sqref="K136"/>
    </sheetView>
  </sheetViews>
  <sheetFormatPr defaultRowHeight="14.4" outlineLevelRow="0" outlineLevelCol="0"/>
  <cols>
    <col min="1" max="1" width="9" customWidth="true" style="0"/>
    <col min="2" max="2" width="10" customWidth="true" style="0"/>
    <col min="3" max="3" width="30" customWidth="true" style="0"/>
    <col min="4" max="4" width="26" customWidth="true" style="0"/>
    <col min="5" max="5" width="14" customWidth="true" style="0"/>
    <col min="6" max="6" width="55" customWidth="true" style="0"/>
    <col min="7" max="7" width="70" customWidth="true" style="0"/>
    <col min="8" max="8" width="13" customWidth="true" style="0"/>
    <col min="9" max="9" width="34" customWidth="true" style="0"/>
    <col min="10" max="10" width="12" customWidth="true" style="0"/>
    <col min="11" max="11" width="13" customWidth="true" style="0"/>
    <col min="12" max="12" width="40" customWidth="true" style="0"/>
  </cols>
  <sheetData>
    <row r="1" spans="1:12" customHeight="1" ht="22">
      <c r="A1" s="1" t="s">
        <v>24</v>
      </c>
      <c r="B1" s="1" t="s">
        <v>25</v>
      </c>
      <c r="C1" s="1" t="s">
        <v>2</v>
      </c>
      <c r="D1" s="1" t="s">
        <v>26</v>
      </c>
      <c r="E1" s="1" t="s">
        <v>19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</row>
    <row r="2" spans="1:12">
      <c r="A2" s="2" t="s">
        <v>34</v>
      </c>
      <c r="B2" s="2" t="s">
        <v>27</v>
      </c>
      <c r="C2" s="2" t="s">
        <v>10</v>
      </c>
      <c r="D2" s="2"/>
      <c r="E2" s="2" t="s">
        <v>20</v>
      </c>
      <c r="F2" s="5" t="s">
        <v>35</v>
      </c>
      <c r="G2" s="2" t="s">
        <v>36</v>
      </c>
      <c r="H2" s="2"/>
      <c r="I2" s="2" t="s">
        <v>37</v>
      </c>
      <c r="J2" s="2" t="s">
        <v>6</v>
      </c>
      <c r="K2" s="8">
        <v>46278.0</v>
      </c>
      <c r="L2" s="2" t="s">
        <v>38</v>
      </c>
    </row>
    <row r="3" spans="1:12">
      <c r="A3" s="2" t="s">
        <v>39</v>
      </c>
      <c r="B3" s="2" t="s">
        <v>27</v>
      </c>
      <c r="C3" s="2" t="s">
        <v>10</v>
      </c>
      <c r="D3" s="2"/>
      <c r="E3" s="2" t="s">
        <v>20</v>
      </c>
      <c r="F3" s="5" t="s">
        <v>40</v>
      </c>
      <c r="G3" s="2" t="s">
        <v>41</v>
      </c>
      <c r="H3" s="2"/>
      <c r="I3" s="2" t="s">
        <v>42</v>
      </c>
      <c r="J3" s="2" t="s">
        <v>6</v>
      </c>
      <c r="K3" s="8">
        <v>46278.0</v>
      </c>
      <c r="L3" s="2" t="s">
        <v>43</v>
      </c>
    </row>
    <row r="4" spans="1:12">
      <c r="A4" s="2" t="s">
        <v>44</v>
      </c>
      <c r="B4" s="2" t="s">
        <v>27</v>
      </c>
      <c r="C4" s="2" t="s">
        <v>10</v>
      </c>
      <c r="D4" s="2"/>
      <c r="E4" s="2" t="s">
        <v>20</v>
      </c>
      <c r="F4" s="5" t="s">
        <v>45</v>
      </c>
      <c r="G4" s="2" t="s">
        <v>46</v>
      </c>
      <c r="H4" s="2"/>
      <c r="I4" s="2" t="s">
        <v>47</v>
      </c>
      <c r="J4" s="2" t="s">
        <v>6</v>
      </c>
      <c r="K4" s="8">
        <v>46278.0</v>
      </c>
      <c r="L4" s="2" t="s">
        <v>48</v>
      </c>
    </row>
    <row r="5" spans="1:12">
      <c r="A5" s="2" t="s">
        <v>49</v>
      </c>
      <c r="B5" s="2" t="s">
        <v>27</v>
      </c>
      <c r="C5" s="2" t="s">
        <v>10</v>
      </c>
      <c r="D5" s="2"/>
      <c r="E5" s="2" t="s">
        <v>22</v>
      </c>
      <c r="F5" s="5" t="s">
        <v>50</v>
      </c>
      <c r="G5" s="2" t="s">
        <v>51</v>
      </c>
      <c r="H5" s="2"/>
      <c r="I5" s="2" t="s">
        <v>52</v>
      </c>
      <c r="J5" s="2" t="s">
        <v>6</v>
      </c>
      <c r="K5" s="8">
        <v>46278.0</v>
      </c>
      <c r="L5" s="2" t="s">
        <v>53</v>
      </c>
    </row>
    <row r="6" spans="1:12">
      <c r="A6" s="2" t="s">
        <v>54</v>
      </c>
      <c r="B6" s="2" t="s">
        <v>27</v>
      </c>
      <c r="C6" s="2" t="s">
        <v>10</v>
      </c>
      <c r="D6" s="2"/>
      <c r="E6" s="2" t="s">
        <v>22</v>
      </c>
      <c r="F6" s="5" t="s">
        <v>55</v>
      </c>
      <c r="G6" s="2" t="s">
        <v>56</v>
      </c>
      <c r="H6" s="2"/>
      <c r="I6" s="2" t="s">
        <v>57</v>
      </c>
      <c r="J6" s="2" t="s">
        <v>6</v>
      </c>
      <c r="K6" s="8">
        <v>46278.0</v>
      </c>
      <c r="L6" s="2" t="s">
        <v>58</v>
      </c>
    </row>
    <row r="7" spans="1:12">
      <c r="A7" s="2" t="s">
        <v>59</v>
      </c>
      <c r="B7" s="2" t="s">
        <v>27</v>
      </c>
      <c r="C7" s="2" t="s">
        <v>10</v>
      </c>
      <c r="D7" s="2"/>
      <c r="E7" s="2" t="s">
        <v>23</v>
      </c>
      <c r="F7" s="5" t="s">
        <v>60</v>
      </c>
      <c r="G7" s="2" t="s">
        <v>61</v>
      </c>
      <c r="H7" s="2"/>
      <c r="I7" s="2" t="s">
        <v>62</v>
      </c>
      <c r="J7" s="2" t="s">
        <v>6</v>
      </c>
      <c r="K7" s="8">
        <v>46278.0</v>
      </c>
      <c r="L7" s="2" t="s">
        <v>63</v>
      </c>
    </row>
    <row r="8" spans="1:12">
      <c r="A8" s="2" t="s">
        <v>64</v>
      </c>
      <c r="B8" s="2" t="s">
        <v>27</v>
      </c>
      <c r="C8" s="2" t="s">
        <v>10</v>
      </c>
      <c r="D8" s="2"/>
      <c r="E8" s="2" t="s">
        <v>23</v>
      </c>
      <c r="F8" s="5" t="s">
        <v>65</v>
      </c>
      <c r="G8" s="2" t="s">
        <v>66</v>
      </c>
      <c r="H8" s="2"/>
      <c r="I8" s="2"/>
      <c r="J8" s="2" t="s">
        <v>6</v>
      </c>
      <c r="K8" s="8">
        <v>46278.0</v>
      </c>
      <c r="L8" s="2" t="s">
        <v>67</v>
      </c>
    </row>
    <row r="9" spans="1:12">
      <c r="A9" s="2" t="s">
        <v>68</v>
      </c>
      <c r="B9" s="2" t="s">
        <v>27</v>
      </c>
      <c r="C9" s="2" t="s">
        <v>10</v>
      </c>
      <c r="D9" s="2"/>
      <c r="E9" s="2" t="s">
        <v>23</v>
      </c>
      <c r="F9" s="5" t="s">
        <v>69</v>
      </c>
      <c r="G9" s="2" t="s">
        <v>70</v>
      </c>
      <c r="H9" s="2"/>
      <c r="I9" s="2" t="s">
        <v>71</v>
      </c>
      <c r="J9" s="2" t="s">
        <v>6</v>
      </c>
      <c r="K9" s="8">
        <v>46278.0</v>
      </c>
      <c r="L9" s="2" t="s">
        <v>72</v>
      </c>
    </row>
    <row r="10" spans="1:12">
      <c r="A10" s="2" t="s">
        <v>73</v>
      </c>
      <c r="B10" s="2" t="s">
        <v>27</v>
      </c>
      <c r="C10" s="2" t="s">
        <v>11</v>
      </c>
      <c r="D10" s="2"/>
      <c r="E10" s="2" t="s">
        <v>20</v>
      </c>
      <c r="F10" s="5" t="s">
        <v>74</v>
      </c>
      <c r="G10" s="2" t="s">
        <v>75</v>
      </c>
      <c r="H10" s="2"/>
      <c r="I10" s="2"/>
      <c r="J10" s="2" t="s">
        <v>6</v>
      </c>
      <c r="K10" s="8">
        <v>46278.0</v>
      </c>
      <c r="L10" s="2" t="s">
        <v>76</v>
      </c>
    </row>
    <row r="11" spans="1:12">
      <c r="A11" s="2" t="s">
        <v>77</v>
      </c>
      <c r="B11" s="2" t="s">
        <v>27</v>
      </c>
      <c r="C11" s="2" t="s">
        <v>11</v>
      </c>
      <c r="D11" s="2"/>
      <c r="E11" s="2" t="s">
        <v>20</v>
      </c>
      <c r="F11" s="5" t="s">
        <v>78</v>
      </c>
      <c r="G11" s="2" t="s">
        <v>79</v>
      </c>
      <c r="H11" s="2"/>
      <c r="I11" s="2"/>
      <c r="J11" s="2" t="s">
        <v>4</v>
      </c>
      <c r="K11" s="8"/>
      <c r="L11" s="2"/>
    </row>
    <row r="12" spans="1:12">
      <c r="A12" s="2" t="s">
        <v>80</v>
      </c>
      <c r="B12" s="2" t="s">
        <v>27</v>
      </c>
      <c r="C12" s="2" t="s">
        <v>11</v>
      </c>
      <c r="D12" s="2"/>
      <c r="E12" s="2" t="s">
        <v>20</v>
      </c>
      <c r="F12" s="5" t="s">
        <v>81</v>
      </c>
      <c r="G12" s="2"/>
      <c r="H12" s="2"/>
      <c r="I12" s="2"/>
      <c r="J12" s="2" t="s">
        <v>4</v>
      </c>
      <c r="K12" s="8"/>
      <c r="L12" s="2"/>
    </row>
    <row r="13" spans="1:12">
      <c r="A13" s="3" t="s">
        <v>82</v>
      </c>
      <c r="B13" s="3" t="s">
        <v>83</v>
      </c>
      <c r="C13" s="3" t="s">
        <v>11</v>
      </c>
      <c r="D13" s="3"/>
      <c r="E13" s="3" t="s">
        <v>20</v>
      </c>
      <c r="F13" s="6" t="s">
        <v>84</v>
      </c>
      <c r="G13" s="3"/>
      <c r="H13" s="3"/>
      <c r="I13" s="3"/>
      <c r="J13" s="3" t="s">
        <v>4</v>
      </c>
      <c r="K13" s="9"/>
      <c r="L13" s="3"/>
    </row>
    <row r="14" spans="1:12">
      <c r="A14" s="3" t="s">
        <v>85</v>
      </c>
      <c r="B14" s="3" t="s">
        <v>83</v>
      </c>
      <c r="C14" s="3" t="s">
        <v>11</v>
      </c>
      <c r="D14" s="3"/>
      <c r="E14" s="3" t="s">
        <v>20</v>
      </c>
      <c r="F14" s="6" t="s">
        <v>86</v>
      </c>
      <c r="G14" s="3"/>
      <c r="H14" s="3"/>
      <c r="I14" s="3"/>
      <c r="J14" s="3" t="s">
        <v>4</v>
      </c>
      <c r="K14" s="9"/>
      <c r="L14" s="3"/>
    </row>
    <row r="15" spans="1:12">
      <c r="A15" s="2" t="s">
        <v>87</v>
      </c>
      <c r="B15" s="2" t="s">
        <v>27</v>
      </c>
      <c r="C15" s="2" t="s">
        <v>11</v>
      </c>
      <c r="D15" s="2"/>
      <c r="E15" s="2" t="s">
        <v>21</v>
      </c>
      <c r="F15" s="5" t="s">
        <v>88</v>
      </c>
      <c r="G15" s="2" t="s">
        <v>89</v>
      </c>
      <c r="H15" s="2"/>
      <c r="I15" s="2"/>
      <c r="J15" s="2" t="s">
        <v>6</v>
      </c>
      <c r="K15" s="8">
        <v>46278.0</v>
      </c>
      <c r="L15" s="2" t="s">
        <v>90</v>
      </c>
    </row>
    <row r="16" spans="1:12">
      <c r="A16" s="2" t="s">
        <v>91</v>
      </c>
      <c r="B16" s="2" t="s">
        <v>27</v>
      </c>
      <c r="C16" s="2" t="s">
        <v>12</v>
      </c>
      <c r="D16" s="2"/>
      <c r="E16" s="2" t="s">
        <v>20</v>
      </c>
      <c r="F16" s="5" t="s">
        <v>92</v>
      </c>
      <c r="G16" s="2" t="s">
        <v>93</v>
      </c>
      <c r="H16" s="2"/>
      <c r="I16" s="2" t="s">
        <v>94</v>
      </c>
      <c r="J16" s="2" t="s">
        <v>4</v>
      </c>
      <c r="K16" s="8"/>
      <c r="L16" s="2"/>
    </row>
    <row r="17" spans="1:12">
      <c r="A17" s="3" t="s">
        <v>95</v>
      </c>
      <c r="B17" s="3" t="s">
        <v>83</v>
      </c>
      <c r="C17" s="3" t="s">
        <v>12</v>
      </c>
      <c r="D17" s="3"/>
      <c r="E17" s="3" t="s">
        <v>20</v>
      </c>
      <c r="F17" s="6" t="s">
        <v>96</v>
      </c>
      <c r="G17" s="3"/>
      <c r="H17" s="3"/>
      <c r="I17" s="3"/>
      <c r="J17" s="3" t="s">
        <v>4</v>
      </c>
      <c r="K17" s="9"/>
      <c r="L17" s="3"/>
    </row>
    <row r="18" spans="1:12">
      <c r="A18" s="3" t="s">
        <v>97</v>
      </c>
      <c r="B18" s="3" t="s">
        <v>83</v>
      </c>
      <c r="C18" s="3" t="s">
        <v>12</v>
      </c>
      <c r="D18" s="3"/>
      <c r="E18" s="3" t="s">
        <v>20</v>
      </c>
      <c r="F18" s="6" t="s">
        <v>98</v>
      </c>
      <c r="G18" s="3" t="s">
        <v>99</v>
      </c>
      <c r="H18" s="3"/>
      <c r="I18" s="3"/>
      <c r="J18" s="3" t="s">
        <v>4</v>
      </c>
      <c r="K18" s="9"/>
      <c r="L18" s="3"/>
    </row>
    <row r="19" spans="1:12">
      <c r="A19" s="3" t="s">
        <v>100</v>
      </c>
      <c r="B19" s="3" t="s">
        <v>83</v>
      </c>
      <c r="C19" s="3" t="s">
        <v>12</v>
      </c>
      <c r="D19" s="3"/>
      <c r="E19" s="3" t="s">
        <v>20</v>
      </c>
      <c r="F19" s="6" t="s">
        <v>101</v>
      </c>
      <c r="G19" s="3"/>
      <c r="H19" s="3"/>
      <c r="I19" s="3"/>
      <c r="J19" s="3" t="s">
        <v>4</v>
      </c>
      <c r="K19" s="9"/>
      <c r="L19" s="3"/>
    </row>
    <row r="20" spans="1:12">
      <c r="A20" s="2" t="s">
        <v>102</v>
      </c>
      <c r="B20" s="2" t="s">
        <v>27</v>
      </c>
      <c r="C20" s="2" t="s">
        <v>12</v>
      </c>
      <c r="D20" s="2"/>
      <c r="E20" s="2" t="s">
        <v>20</v>
      </c>
      <c r="F20" s="5" t="s">
        <v>103</v>
      </c>
      <c r="G20" s="2" t="s">
        <v>104</v>
      </c>
      <c r="H20" s="2"/>
      <c r="I20" s="2"/>
      <c r="J20" s="2" t="s">
        <v>4</v>
      </c>
      <c r="K20" s="8"/>
      <c r="L20" s="2"/>
    </row>
    <row r="21" spans="1:12">
      <c r="A21" s="3" t="s">
        <v>105</v>
      </c>
      <c r="B21" s="3" t="s">
        <v>83</v>
      </c>
      <c r="C21" s="3" t="s">
        <v>12</v>
      </c>
      <c r="D21" s="3"/>
      <c r="E21" s="3" t="s">
        <v>20</v>
      </c>
      <c r="F21" s="6" t="s">
        <v>106</v>
      </c>
      <c r="G21" s="3"/>
      <c r="H21" s="3"/>
      <c r="I21" s="3"/>
      <c r="J21" s="3" t="s">
        <v>4</v>
      </c>
      <c r="K21" s="9"/>
      <c r="L21" s="3"/>
    </row>
    <row r="22" spans="1:12">
      <c r="A22" s="3" t="s">
        <v>107</v>
      </c>
      <c r="B22" s="3" t="s">
        <v>83</v>
      </c>
      <c r="C22" s="3" t="s">
        <v>12</v>
      </c>
      <c r="D22" s="3"/>
      <c r="E22" s="3" t="s">
        <v>20</v>
      </c>
      <c r="F22" s="6" t="s">
        <v>108</v>
      </c>
      <c r="G22" s="3"/>
      <c r="H22" s="3"/>
      <c r="I22" s="3"/>
      <c r="J22" s="3" t="s">
        <v>4</v>
      </c>
      <c r="K22" s="9"/>
      <c r="L22" s="3"/>
    </row>
    <row r="23" spans="1:12">
      <c r="A23" s="3" t="s">
        <v>109</v>
      </c>
      <c r="B23" s="3" t="s">
        <v>83</v>
      </c>
      <c r="C23" s="3" t="s">
        <v>12</v>
      </c>
      <c r="D23" s="3"/>
      <c r="E23" s="3" t="s">
        <v>20</v>
      </c>
      <c r="F23" s="6" t="s">
        <v>110</v>
      </c>
      <c r="G23" s="3"/>
      <c r="H23" s="3"/>
      <c r="I23" s="3"/>
      <c r="J23" s="3" t="s">
        <v>4</v>
      </c>
      <c r="K23" s="9"/>
      <c r="L23" s="3"/>
    </row>
    <row r="24" spans="1:12">
      <c r="A24" s="3" t="s">
        <v>111</v>
      </c>
      <c r="B24" s="3" t="s">
        <v>83</v>
      </c>
      <c r="C24" s="3" t="s">
        <v>12</v>
      </c>
      <c r="D24" s="3"/>
      <c r="E24" s="3" t="s">
        <v>20</v>
      </c>
      <c r="F24" s="6" t="s">
        <v>112</v>
      </c>
      <c r="G24" s="3"/>
      <c r="H24" s="3"/>
      <c r="I24" s="3"/>
      <c r="J24" s="3" t="s">
        <v>4</v>
      </c>
      <c r="K24" s="9"/>
      <c r="L24" s="3"/>
    </row>
    <row r="25" spans="1:12">
      <c r="A25" s="3" t="s">
        <v>113</v>
      </c>
      <c r="B25" s="3" t="s">
        <v>83</v>
      </c>
      <c r="C25" s="3" t="s">
        <v>12</v>
      </c>
      <c r="D25" s="3"/>
      <c r="E25" s="3" t="s">
        <v>20</v>
      </c>
      <c r="F25" s="6" t="s">
        <v>114</v>
      </c>
      <c r="G25" s="3"/>
      <c r="H25" s="3"/>
      <c r="I25" s="3"/>
      <c r="J25" s="3" t="s">
        <v>4</v>
      </c>
      <c r="K25" s="9"/>
      <c r="L25" s="3"/>
    </row>
    <row r="26" spans="1:12">
      <c r="A26" s="3" t="s">
        <v>115</v>
      </c>
      <c r="B26" s="3" t="s">
        <v>83</v>
      </c>
      <c r="C26" s="3" t="s">
        <v>12</v>
      </c>
      <c r="D26" s="3"/>
      <c r="E26" s="3" t="s">
        <v>20</v>
      </c>
      <c r="F26" s="6" t="s">
        <v>116</v>
      </c>
      <c r="G26" s="3"/>
      <c r="H26" s="3"/>
      <c r="I26" s="3"/>
      <c r="J26" s="3" t="s">
        <v>4</v>
      </c>
      <c r="K26" s="9"/>
      <c r="L26" s="3"/>
    </row>
    <row r="27" spans="1:12">
      <c r="A27" s="3" t="s">
        <v>117</v>
      </c>
      <c r="B27" s="3" t="s">
        <v>83</v>
      </c>
      <c r="C27" s="3" t="s">
        <v>12</v>
      </c>
      <c r="D27" s="3"/>
      <c r="E27" s="3" t="s">
        <v>20</v>
      </c>
      <c r="F27" s="6" t="s">
        <v>118</v>
      </c>
      <c r="G27" s="3" t="s">
        <v>119</v>
      </c>
      <c r="H27" s="3" t="s">
        <v>44</v>
      </c>
      <c r="I27" s="3"/>
      <c r="J27" s="3" t="s">
        <v>4</v>
      </c>
      <c r="K27" s="9"/>
      <c r="L27" s="3"/>
    </row>
    <row r="28" spans="1:12">
      <c r="A28" s="2" t="s">
        <v>120</v>
      </c>
      <c r="B28" s="2" t="s">
        <v>27</v>
      </c>
      <c r="C28" s="2" t="s">
        <v>12</v>
      </c>
      <c r="D28" s="2"/>
      <c r="E28" s="2" t="s">
        <v>20</v>
      </c>
      <c r="F28" s="5" t="s">
        <v>121</v>
      </c>
      <c r="G28" s="2" t="s">
        <v>122</v>
      </c>
      <c r="H28" s="2"/>
      <c r="I28" s="2"/>
      <c r="J28" s="2" t="s">
        <v>4</v>
      </c>
      <c r="K28" s="8"/>
      <c r="L28" s="2"/>
    </row>
    <row r="29" spans="1:12">
      <c r="A29" s="2" t="s">
        <v>123</v>
      </c>
      <c r="B29" s="2" t="s">
        <v>27</v>
      </c>
      <c r="C29" s="2" t="s">
        <v>12</v>
      </c>
      <c r="D29" s="2"/>
      <c r="E29" s="2" t="s">
        <v>21</v>
      </c>
      <c r="F29" s="5" t="s">
        <v>124</v>
      </c>
      <c r="G29" s="2" t="s">
        <v>125</v>
      </c>
      <c r="H29" s="2"/>
      <c r="I29" s="2" t="s">
        <v>126</v>
      </c>
      <c r="J29" s="2" t="s">
        <v>4</v>
      </c>
      <c r="K29" s="8"/>
      <c r="L29" s="2"/>
    </row>
    <row r="30" spans="1:12">
      <c r="A30" s="2" t="s">
        <v>127</v>
      </c>
      <c r="B30" s="2" t="s">
        <v>27</v>
      </c>
      <c r="C30" s="2" t="s">
        <v>12</v>
      </c>
      <c r="D30" s="2"/>
      <c r="E30" s="2" t="s">
        <v>23</v>
      </c>
      <c r="F30" s="5" t="s">
        <v>128</v>
      </c>
      <c r="G30" s="2" t="s">
        <v>129</v>
      </c>
      <c r="H30" s="2"/>
      <c r="I30" s="2"/>
      <c r="J30" s="2" t="s">
        <v>4</v>
      </c>
      <c r="K30" s="8"/>
      <c r="L30" s="2"/>
    </row>
    <row r="31" spans="1:12">
      <c r="A31" s="2" t="s">
        <v>130</v>
      </c>
      <c r="B31" s="2" t="s">
        <v>27</v>
      </c>
      <c r="C31" s="2" t="s">
        <v>12</v>
      </c>
      <c r="D31" s="2"/>
      <c r="E31" s="2" t="s">
        <v>21</v>
      </c>
      <c r="F31" s="5" t="s">
        <v>131</v>
      </c>
      <c r="G31" s="2" t="s">
        <v>132</v>
      </c>
      <c r="H31" s="2"/>
      <c r="I31" s="2"/>
      <c r="J31" s="2" t="s">
        <v>4</v>
      </c>
      <c r="K31" s="8"/>
      <c r="L31" s="2"/>
    </row>
    <row r="32" spans="1:12">
      <c r="A32" s="2" t="s">
        <v>133</v>
      </c>
      <c r="B32" s="2" t="s">
        <v>27</v>
      </c>
      <c r="C32" s="2" t="s">
        <v>12</v>
      </c>
      <c r="D32" s="2"/>
      <c r="E32" s="2" t="s">
        <v>21</v>
      </c>
      <c r="F32" s="5" t="s">
        <v>134</v>
      </c>
      <c r="G32" s="2" t="s">
        <v>135</v>
      </c>
      <c r="H32" s="2"/>
      <c r="I32" s="2"/>
      <c r="J32" s="2" t="s">
        <v>4</v>
      </c>
      <c r="K32" s="8"/>
      <c r="L32" s="2"/>
    </row>
    <row r="33" spans="1:12">
      <c r="A33" s="2" t="s">
        <v>136</v>
      </c>
      <c r="B33" s="2" t="s">
        <v>27</v>
      </c>
      <c r="C33" s="2" t="s">
        <v>12</v>
      </c>
      <c r="D33" s="2"/>
      <c r="E33" s="2" t="s">
        <v>23</v>
      </c>
      <c r="F33" s="5" t="s">
        <v>137</v>
      </c>
      <c r="G33" s="2" t="s">
        <v>138</v>
      </c>
      <c r="H33" s="2"/>
      <c r="I33" s="2"/>
      <c r="J33" s="2" t="s">
        <v>4</v>
      </c>
      <c r="K33" s="8"/>
      <c r="L33" s="2"/>
    </row>
    <row r="34" spans="1:12">
      <c r="A34" s="2" t="s">
        <v>139</v>
      </c>
      <c r="B34" s="2" t="s">
        <v>27</v>
      </c>
      <c r="C34" s="2" t="s">
        <v>13</v>
      </c>
      <c r="D34" s="2"/>
      <c r="E34" s="2" t="s">
        <v>20</v>
      </c>
      <c r="F34" s="5" t="s">
        <v>140</v>
      </c>
      <c r="G34" s="2" t="s">
        <v>141</v>
      </c>
      <c r="H34" s="2" t="s">
        <v>142</v>
      </c>
      <c r="I34" s="2"/>
      <c r="J34" s="2" t="s">
        <v>4</v>
      </c>
      <c r="K34" s="8"/>
      <c r="L34" s="2"/>
    </row>
    <row r="35" spans="1:12">
      <c r="A35" s="2" t="s">
        <v>143</v>
      </c>
      <c r="B35" s="2" t="s">
        <v>27</v>
      </c>
      <c r="C35" s="2" t="s">
        <v>13</v>
      </c>
      <c r="D35" s="2"/>
      <c r="E35" s="2" t="s">
        <v>23</v>
      </c>
      <c r="F35" s="5" t="s">
        <v>144</v>
      </c>
      <c r="G35" s="2" t="s">
        <v>145</v>
      </c>
      <c r="H35" s="2" t="s">
        <v>142</v>
      </c>
      <c r="I35" s="2" t="s">
        <v>146</v>
      </c>
      <c r="J35" s="2" t="s">
        <v>4</v>
      </c>
      <c r="K35" s="8"/>
      <c r="L35" s="2"/>
    </row>
    <row r="36" spans="1:12">
      <c r="A36" s="2" t="s">
        <v>147</v>
      </c>
      <c r="B36" s="2" t="s">
        <v>27</v>
      </c>
      <c r="C36" s="2" t="s">
        <v>13</v>
      </c>
      <c r="D36" s="2"/>
      <c r="E36" s="2" t="s">
        <v>23</v>
      </c>
      <c r="F36" s="5" t="s">
        <v>148</v>
      </c>
      <c r="G36" s="2" t="s">
        <v>149</v>
      </c>
      <c r="H36" s="2" t="s">
        <v>142</v>
      </c>
      <c r="I36" s="2"/>
      <c r="J36" s="2" t="s">
        <v>4</v>
      </c>
      <c r="K36" s="8"/>
      <c r="L36" s="2"/>
    </row>
    <row r="37" spans="1:12">
      <c r="A37" s="2" t="s">
        <v>150</v>
      </c>
      <c r="B37" s="2" t="s">
        <v>27</v>
      </c>
      <c r="C37" s="2" t="s">
        <v>13</v>
      </c>
      <c r="D37" s="2"/>
      <c r="E37" s="2" t="s">
        <v>21</v>
      </c>
      <c r="F37" s="5" t="s">
        <v>151</v>
      </c>
      <c r="G37" s="2" t="s">
        <v>152</v>
      </c>
      <c r="H37" s="2"/>
      <c r="I37" s="2"/>
      <c r="J37" s="2" t="s">
        <v>4</v>
      </c>
      <c r="K37" s="8"/>
      <c r="L37" s="2"/>
    </row>
    <row r="38" spans="1:12">
      <c r="A38" s="2" t="s">
        <v>153</v>
      </c>
      <c r="B38" s="2" t="s">
        <v>27</v>
      </c>
      <c r="C38" s="2" t="s">
        <v>14</v>
      </c>
      <c r="D38" s="2" t="s">
        <v>154</v>
      </c>
      <c r="E38" s="2" t="s">
        <v>20</v>
      </c>
      <c r="F38" s="5" t="s">
        <v>155</v>
      </c>
      <c r="G38" s="2" t="s">
        <v>156</v>
      </c>
      <c r="H38" s="2"/>
      <c r="I38" s="2"/>
      <c r="J38" s="2" t="s">
        <v>4</v>
      </c>
      <c r="K38" s="8"/>
      <c r="L38" s="2"/>
    </row>
    <row r="39" spans="1:12">
      <c r="A39" s="2" t="s">
        <v>157</v>
      </c>
      <c r="B39" s="2" t="s">
        <v>27</v>
      </c>
      <c r="C39" s="2" t="s">
        <v>14</v>
      </c>
      <c r="D39" s="2" t="s">
        <v>154</v>
      </c>
      <c r="E39" s="2" t="s">
        <v>20</v>
      </c>
      <c r="F39" s="5" t="s">
        <v>158</v>
      </c>
      <c r="G39" s="2" t="s">
        <v>159</v>
      </c>
      <c r="H39" s="2"/>
      <c r="I39" s="2"/>
      <c r="J39" s="2" t="s">
        <v>4</v>
      </c>
      <c r="K39" s="8"/>
      <c r="L39" s="2"/>
    </row>
    <row r="40" spans="1:12">
      <c r="A40" s="2" t="s">
        <v>160</v>
      </c>
      <c r="B40" s="2" t="s">
        <v>27</v>
      </c>
      <c r="C40" s="2" t="s">
        <v>14</v>
      </c>
      <c r="D40" s="2" t="s">
        <v>154</v>
      </c>
      <c r="E40" s="2" t="s">
        <v>20</v>
      </c>
      <c r="F40" s="5" t="s">
        <v>161</v>
      </c>
      <c r="G40" s="2" t="s">
        <v>162</v>
      </c>
      <c r="H40" s="2"/>
      <c r="I40" s="2"/>
      <c r="J40" s="2" t="s">
        <v>4</v>
      </c>
      <c r="K40" s="8"/>
      <c r="L40" s="2"/>
    </row>
    <row r="41" spans="1:12">
      <c r="A41" s="2" t="s">
        <v>163</v>
      </c>
      <c r="B41" s="2" t="s">
        <v>27</v>
      </c>
      <c r="C41" s="2" t="s">
        <v>14</v>
      </c>
      <c r="D41" s="2" t="s">
        <v>154</v>
      </c>
      <c r="E41" s="2" t="s">
        <v>20</v>
      </c>
      <c r="F41" s="5" t="s">
        <v>164</v>
      </c>
      <c r="G41" s="2" t="s">
        <v>165</v>
      </c>
      <c r="H41" s="2"/>
      <c r="I41" s="2"/>
      <c r="J41" s="2" t="s">
        <v>4</v>
      </c>
      <c r="K41" s="8"/>
      <c r="L41" s="2"/>
    </row>
    <row r="42" spans="1:12">
      <c r="A42" s="2" t="s">
        <v>166</v>
      </c>
      <c r="B42" s="2" t="s">
        <v>27</v>
      </c>
      <c r="C42" s="2" t="s">
        <v>14</v>
      </c>
      <c r="D42" s="2" t="s">
        <v>154</v>
      </c>
      <c r="E42" s="2" t="s">
        <v>23</v>
      </c>
      <c r="F42" s="5" t="s">
        <v>167</v>
      </c>
      <c r="G42" s="2" t="s">
        <v>168</v>
      </c>
      <c r="H42" s="2"/>
      <c r="I42" s="2"/>
      <c r="J42" s="2" t="s">
        <v>4</v>
      </c>
      <c r="K42" s="8"/>
      <c r="L42" s="2"/>
    </row>
    <row r="43" spans="1:12">
      <c r="A43" s="2" t="s">
        <v>169</v>
      </c>
      <c r="B43" s="2" t="s">
        <v>27</v>
      </c>
      <c r="C43" s="2" t="s">
        <v>14</v>
      </c>
      <c r="D43" s="2" t="s">
        <v>154</v>
      </c>
      <c r="E43" s="2" t="s">
        <v>23</v>
      </c>
      <c r="F43" s="5" t="s">
        <v>170</v>
      </c>
      <c r="G43" s="2" t="s">
        <v>171</v>
      </c>
      <c r="H43" s="2"/>
      <c r="I43" s="2"/>
      <c r="J43" s="2" t="s">
        <v>4</v>
      </c>
      <c r="K43" s="8"/>
      <c r="L43" s="2"/>
    </row>
    <row r="44" spans="1:12">
      <c r="A44" s="2" t="s">
        <v>172</v>
      </c>
      <c r="B44" s="2" t="s">
        <v>27</v>
      </c>
      <c r="C44" s="2" t="s">
        <v>14</v>
      </c>
      <c r="D44" s="2" t="s">
        <v>154</v>
      </c>
      <c r="E44" s="2" t="s">
        <v>23</v>
      </c>
      <c r="F44" s="5" t="s">
        <v>173</v>
      </c>
      <c r="G44" s="2" t="s">
        <v>174</v>
      </c>
      <c r="H44" s="2" t="s">
        <v>49</v>
      </c>
      <c r="I44" s="2"/>
      <c r="J44" s="2" t="s">
        <v>4</v>
      </c>
      <c r="K44" s="8"/>
      <c r="L44" s="2" t="s">
        <v>175</v>
      </c>
    </row>
    <row r="45" spans="1:12">
      <c r="A45" s="2" t="s">
        <v>176</v>
      </c>
      <c r="B45" s="2" t="s">
        <v>27</v>
      </c>
      <c r="C45" s="2" t="s">
        <v>14</v>
      </c>
      <c r="D45" s="2" t="s">
        <v>154</v>
      </c>
      <c r="E45" s="2" t="s">
        <v>23</v>
      </c>
      <c r="F45" s="5" t="s">
        <v>177</v>
      </c>
      <c r="G45" s="2" t="s">
        <v>178</v>
      </c>
      <c r="H45" s="2"/>
      <c r="I45" s="2"/>
      <c r="J45" s="2" t="s">
        <v>4</v>
      </c>
      <c r="K45" s="8"/>
      <c r="L45" s="2"/>
    </row>
    <row r="46" spans="1:12">
      <c r="A46" s="2" t="s">
        <v>179</v>
      </c>
      <c r="B46" s="2" t="s">
        <v>27</v>
      </c>
      <c r="C46" s="2" t="s">
        <v>14</v>
      </c>
      <c r="D46" s="2" t="s">
        <v>154</v>
      </c>
      <c r="E46" s="2" t="s">
        <v>23</v>
      </c>
      <c r="F46" s="5" t="s">
        <v>180</v>
      </c>
      <c r="G46" s="2"/>
      <c r="H46" s="2"/>
      <c r="I46" s="2"/>
      <c r="J46" s="2" t="s">
        <v>4</v>
      </c>
      <c r="K46" s="8"/>
      <c r="L46" s="2"/>
    </row>
    <row r="47" spans="1:12">
      <c r="A47" s="2" t="s">
        <v>181</v>
      </c>
      <c r="B47" s="2" t="s">
        <v>27</v>
      </c>
      <c r="C47" s="2" t="s">
        <v>14</v>
      </c>
      <c r="D47" s="2" t="s">
        <v>182</v>
      </c>
      <c r="E47" s="2" t="s">
        <v>20</v>
      </c>
      <c r="F47" s="5" t="s">
        <v>183</v>
      </c>
      <c r="G47" s="2" t="s">
        <v>184</v>
      </c>
      <c r="H47" s="2"/>
      <c r="I47" s="2"/>
      <c r="J47" s="2" t="s">
        <v>4</v>
      </c>
      <c r="K47" s="8"/>
      <c r="L47" s="2"/>
    </row>
    <row r="48" spans="1:12">
      <c r="A48" s="2" t="s">
        <v>185</v>
      </c>
      <c r="B48" s="2" t="s">
        <v>27</v>
      </c>
      <c r="C48" s="2" t="s">
        <v>14</v>
      </c>
      <c r="D48" s="2" t="s">
        <v>182</v>
      </c>
      <c r="E48" s="2" t="s">
        <v>20</v>
      </c>
      <c r="F48" s="5" t="s">
        <v>186</v>
      </c>
      <c r="G48" s="2" t="s">
        <v>187</v>
      </c>
      <c r="H48" s="2"/>
      <c r="I48" s="2"/>
      <c r="J48" s="2" t="s">
        <v>4</v>
      </c>
      <c r="K48" s="8"/>
      <c r="L48" s="2"/>
    </row>
    <row r="49" spans="1:12">
      <c r="A49" s="2" t="s">
        <v>188</v>
      </c>
      <c r="B49" s="2" t="s">
        <v>27</v>
      </c>
      <c r="C49" s="2" t="s">
        <v>14</v>
      </c>
      <c r="D49" s="2" t="s">
        <v>182</v>
      </c>
      <c r="E49" s="2" t="s">
        <v>20</v>
      </c>
      <c r="F49" s="5" t="s">
        <v>189</v>
      </c>
      <c r="G49" s="2"/>
      <c r="H49" s="2"/>
      <c r="I49" s="2"/>
      <c r="J49" s="2" t="s">
        <v>4</v>
      </c>
      <c r="K49" s="8"/>
      <c r="L49" s="2"/>
    </row>
    <row r="50" spans="1:12">
      <c r="A50" s="3" t="s">
        <v>190</v>
      </c>
      <c r="B50" s="3" t="s">
        <v>83</v>
      </c>
      <c r="C50" s="3" t="s">
        <v>14</v>
      </c>
      <c r="D50" s="3" t="s">
        <v>182</v>
      </c>
      <c r="E50" s="3" t="s">
        <v>20</v>
      </c>
      <c r="F50" s="6" t="s">
        <v>191</v>
      </c>
      <c r="G50" s="3"/>
      <c r="H50" s="3"/>
      <c r="I50" s="3"/>
      <c r="J50" s="3" t="s">
        <v>4</v>
      </c>
      <c r="K50" s="9"/>
      <c r="L50" s="3"/>
    </row>
    <row r="51" spans="1:12">
      <c r="A51" s="3" t="s">
        <v>192</v>
      </c>
      <c r="B51" s="3" t="s">
        <v>83</v>
      </c>
      <c r="C51" s="3" t="s">
        <v>14</v>
      </c>
      <c r="D51" s="3" t="s">
        <v>182</v>
      </c>
      <c r="E51" s="3" t="s">
        <v>20</v>
      </c>
      <c r="F51" s="6" t="s">
        <v>193</v>
      </c>
      <c r="G51" s="3"/>
      <c r="H51" s="3"/>
      <c r="I51" s="3"/>
      <c r="J51" s="3" t="s">
        <v>4</v>
      </c>
      <c r="K51" s="9"/>
      <c r="L51" s="3"/>
    </row>
    <row r="52" spans="1:12">
      <c r="A52" s="3" t="s">
        <v>194</v>
      </c>
      <c r="B52" s="3" t="s">
        <v>83</v>
      </c>
      <c r="C52" s="3" t="s">
        <v>14</v>
      </c>
      <c r="D52" s="3" t="s">
        <v>182</v>
      </c>
      <c r="E52" s="3" t="s">
        <v>20</v>
      </c>
      <c r="F52" s="6" t="s">
        <v>195</v>
      </c>
      <c r="G52" s="3"/>
      <c r="H52" s="3"/>
      <c r="I52" s="3"/>
      <c r="J52" s="3" t="s">
        <v>4</v>
      </c>
      <c r="K52" s="9"/>
      <c r="L52" s="3"/>
    </row>
    <row r="53" spans="1:12">
      <c r="A53" s="2" t="s">
        <v>196</v>
      </c>
      <c r="B53" s="2" t="s">
        <v>27</v>
      </c>
      <c r="C53" s="2" t="s">
        <v>14</v>
      </c>
      <c r="D53" s="2" t="s">
        <v>182</v>
      </c>
      <c r="E53" s="2" t="s">
        <v>23</v>
      </c>
      <c r="F53" s="5" t="s">
        <v>197</v>
      </c>
      <c r="G53" s="2" t="s">
        <v>198</v>
      </c>
      <c r="H53" s="2"/>
      <c r="I53" s="2"/>
      <c r="J53" s="2" t="s">
        <v>4</v>
      </c>
      <c r="K53" s="8"/>
      <c r="L53" s="2"/>
    </row>
    <row r="54" spans="1:12">
      <c r="A54" s="2" t="s">
        <v>199</v>
      </c>
      <c r="B54" s="2" t="s">
        <v>27</v>
      </c>
      <c r="C54" s="2" t="s">
        <v>14</v>
      </c>
      <c r="D54" s="2" t="s">
        <v>182</v>
      </c>
      <c r="E54" s="2" t="s">
        <v>23</v>
      </c>
      <c r="F54" s="5" t="s">
        <v>200</v>
      </c>
      <c r="G54" s="2" t="s">
        <v>201</v>
      </c>
      <c r="H54" s="2"/>
      <c r="I54" s="2"/>
      <c r="J54" s="2" t="s">
        <v>4</v>
      </c>
      <c r="K54" s="8"/>
      <c r="L54" s="2"/>
    </row>
    <row r="55" spans="1:12">
      <c r="A55" s="2" t="s">
        <v>202</v>
      </c>
      <c r="B55" s="2" t="s">
        <v>27</v>
      </c>
      <c r="C55" s="2" t="s">
        <v>14</v>
      </c>
      <c r="D55" s="2" t="s">
        <v>182</v>
      </c>
      <c r="E55" s="2" t="s">
        <v>23</v>
      </c>
      <c r="F55" s="5" t="s">
        <v>203</v>
      </c>
      <c r="G55" s="2" t="s">
        <v>204</v>
      </c>
      <c r="H55" s="2"/>
      <c r="I55" s="2"/>
      <c r="J55" s="2" t="s">
        <v>4</v>
      </c>
      <c r="K55" s="8"/>
      <c r="L55" s="2"/>
    </row>
    <row r="56" spans="1:12">
      <c r="A56" s="2" t="s">
        <v>205</v>
      </c>
      <c r="B56" s="2" t="s">
        <v>27</v>
      </c>
      <c r="C56" s="2" t="s">
        <v>14</v>
      </c>
      <c r="D56" s="2" t="s">
        <v>182</v>
      </c>
      <c r="E56" s="2" t="s">
        <v>23</v>
      </c>
      <c r="F56" s="5" t="s">
        <v>206</v>
      </c>
      <c r="G56" s="2"/>
      <c r="H56" s="2"/>
      <c r="I56" s="2"/>
      <c r="J56" s="2" t="s">
        <v>4</v>
      </c>
      <c r="K56" s="8"/>
      <c r="L56" s="2"/>
    </row>
    <row r="57" spans="1:12">
      <c r="A57" s="2" t="s">
        <v>207</v>
      </c>
      <c r="B57" s="2" t="s">
        <v>27</v>
      </c>
      <c r="C57" s="2" t="s">
        <v>15</v>
      </c>
      <c r="D57" s="2" t="s">
        <v>208</v>
      </c>
      <c r="E57" s="2" t="s">
        <v>20</v>
      </c>
      <c r="F57" s="5" t="s">
        <v>209</v>
      </c>
      <c r="G57" s="2" t="s">
        <v>210</v>
      </c>
      <c r="H57" s="2"/>
      <c r="I57" s="2"/>
      <c r="J57" s="2" t="s">
        <v>4</v>
      </c>
      <c r="K57" s="8"/>
      <c r="L57" s="2"/>
    </row>
    <row r="58" spans="1:12">
      <c r="A58" s="3" t="s">
        <v>211</v>
      </c>
      <c r="B58" s="3" t="s">
        <v>83</v>
      </c>
      <c r="C58" s="3" t="s">
        <v>15</v>
      </c>
      <c r="D58" s="3" t="s">
        <v>208</v>
      </c>
      <c r="E58" s="3" t="s">
        <v>20</v>
      </c>
      <c r="F58" s="6" t="s">
        <v>212</v>
      </c>
      <c r="G58" s="3"/>
      <c r="H58" s="3"/>
      <c r="I58" s="3"/>
      <c r="J58" s="3" t="s">
        <v>4</v>
      </c>
      <c r="K58" s="9"/>
      <c r="L58" s="3"/>
    </row>
    <row r="59" spans="1:12">
      <c r="A59" s="3" t="s">
        <v>213</v>
      </c>
      <c r="B59" s="3" t="s">
        <v>83</v>
      </c>
      <c r="C59" s="3" t="s">
        <v>15</v>
      </c>
      <c r="D59" s="3" t="s">
        <v>208</v>
      </c>
      <c r="E59" s="3" t="s">
        <v>20</v>
      </c>
      <c r="F59" s="6" t="s">
        <v>214</v>
      </c>
      <c r="G59" s="3"/>
      <c r="H59" s="3"/>
      <c r="I59" s="3"/>
      <c r="J59" s="3" t="s">
        <v>4</v>
      </c>
      <c r="K59" s="9"/>
      <c r="L59" s="3"/>
    </row>
    <row r="60" spans="1:12">
      <c r="A60" s="3" t="s">
        <v>215</v>
      </c>
      <c r="B60" s="3" t="s">
        <v>83</v>
      </c>
      <c r="C60" s="3" t="s">
        <v>15</v>
      </c>
      <c r="D60" s="3" t="s">
        <v>208</v>
      </c>
      <c r="E60" s="3" t="s">
        <v>20</v>
      </c>
      <c r="F60" s="6" t="s">
        <v>216</v>
      </c>
      <c r="G60" s="3"/>
      <c r="H60" s="3"/>
      <c r="I60" s="3"/>
      <c r="J60" s="3" t="s">
        <v>4</v>
      </c>
      <c r="K60" s="9"/>
      <c r="L60" s="3"/>
    </row>
    <row r="61" spans="1:12">
      <c r="A61" s="3" t="s">
        <v>217</v>
      </c>
      <c r="B61" s="3" t="s">
        <v>83</v>
      </c>
      <c r="C61" s="3" t="s">
        <v>15</v>
      </c>
      <c r="D61" s="3" t="s">
        <v>208</v>
      </c>
      <c r="E61" s="3" t="s">
        <v>20</v>
      </c>
      <c r="F61" s="6" t="s">
        <v>218</v>
      </c>
      <c r="G61" s="3"/>
      <c r="H61" s="3"/>
      <c r="I61" s="3"/>
      <c r="J61" s="3" t="s">
        <v>4</v>
      </c>
      <c r="K61" s="9"/>
      <c r="L61" s="3"/>
    </row>
    <row r="62" spans="1:12">
      <c r="A62" s="2" t="s">
        <v>219</v>
      </c>
      <c r="B62" s="2" t="s">
        <v>27</v>
      </c>
      <c r="C62" s="2" t="s">
        <v>15</v>
      </c>
      <c r="D62" s="2" t="s">
        <v>208</v>
      </c>
      <c r="E62" s="2" t="s">
        <v>20</v>
      </c>
      <c r="F62" s="5" t="s">
        <v>220</v>
      </c>
      <c r="G62" s="2" t="s">
        <v>221</v>
      </c>
      <c r="H62" s="2"/>
      <c r="I62" s="2"/>
      <c r="J62" s="2" t="s">
        <v>4</v>
      </c>
      <c r="K62" s="8"/>
      <c r="L62" s="2"/>
    </row>
    <row r="63" spans="1:12">
      <c r="A63" s="2" t="s">
        <v>222</v>
      </c>
      <c r="B63" s="2" t="s">
        <v>27</v>
      </c>
      <c r="C63" s="2" t="s">
        <v>15</v>
      </c>
      <c r="D63" s="2" t="s">
        <v>208</v>
      </c>
      <c r="E63" s="2" t="s">
        <v>20</v>
      </c>
      <c r="F63" s="5" t="s">
        <v>223</v>
      </c>
      <c r="G63" s="2" t="s">
        <v>224</v>
      </c>
      <c r="H63" s="2" t="s">
        <v>34</v>
      </c>
      <c r="I63" s="2"/>
      <c r="J63" s="2" t="s">
        <v>4</v>
      </c>
      <c r="K63" s="8"/>
      <c r="L63" s="2" t="s">
        <v>225</v>
      </c>
    </row>
    <row r="64" spans="1:12">
      <c r="A64" s="2" t="s">
        <v>226</v>
      </c>
      <c r="B64" s="2" t="s">
        <v>27</v>
      </c>
      <c r="C64" s="2" t="s">
        <v>15</v>
      </c>
      <c r="D64" s="2" t="s">
        <v>227</v>
      </c>
      <c r="E64" s="2" t="s">
        <v>21</v>
      </c>
      <c r="F64" s="5" t="s">
        <v>228</v>
      </c>
      <c r="G64" s="2" t="s">
        <v>229</v>
      </c>
      <c r="H64" s="2"/>
      <c r="I64" s="2"/>
      <c r="J64" s="2" t="s">
        <v>4</v>
      </c>
      <c r="K64" s="8"/>
      <c r="L64" s="2"/>
    </row>
    <row r="65" spans="1:12">
      <c r="A65" s="2" t="s">
        <v>230</v>
      </c>
      <c r="B65" s="2" t="s">
        <v>27</v>
      </c>
      <c r="C65" s="2" t="s">
        <v>15</v>
      </c>
      <c r="D65" s="2" t="s">
        <v>227</v>
      </c>
      <c r="E65" s="2" t="s">
        <v>21</v>
      </c>
      <c r="F65" s="5" t="s">
        <v>231</v>
      </c>
      <c r="G65" s="2" t="s">
        <v>232</v>
      </c>
      <c r="H65" s="2"/>
      <c r="I65" s="2"/>
      <c r="J65" s="2" t="s">
        <v>4</v>
      </c>
      <c r="K65" s="8"/>
      <c r="L65" s="2"/>
    </row>
    <row r="66" spans="1:12">
      <c r="A66" s="2" t="s">
        <v>233</v>
      </c>
      <c r="B66" s="2" t="s">
        <v>27</v>
      </c>
      <c r="C66" s="2" t="s">
        <v>15</v>
      </c>
      <c r="D66" s="2" t="s">
        <v>227</v>
      </c>
      <c r="E66" s="2" t="s">
        <v>21</v>
      </c>
      <c r="F66" s="5" t="s">
        <v>234</v>
      </c>
      <c r="G66" s="2"/>
      <c r="H66" s="2"/>
      <c r="I66" s="2"/>
      <c r="J66" s="2" t="s">
        <v>4</v>
      </c>
      <c r="K66" s="8"/>
      <c r="L66" s="2"/>
    </row>
    <row r="67" spans="1:12">
      <c r="A67" s="2" t="s">
        <v>235</v>
      </c>
      <c r="B67" s="2" t="s">
        <v>27</v>
      </c>
      <c r="C67" s="2" t="s">
        <v>15</v>
      </c>
      <c r="D67" s="2" t="s">
        <v>227</v>
      </c>
      <c r="E67" s="2" t="s">
        <v>21</v>
      </c>
      <c r="F67" s="5" t="s">
        <v>236</v>
      </c>
      <c r="G67" s="2" t="s">
        <v>237</v>
      </c>
      <c r="H67" s="2"/>
      <c r="I67" s="2"/>
      <c r="J67" s="2" t="s">
        <v>4</v>
      </c>
      <c r="K67" s="8"/>
      <c r="L67" s="2"/>
    </row>
    <row r="68" spans="1:12">
      <c r="A68" s="2" t="s">
        <v>238</v>
      </c>
      <c r="B68" s="2" t="s">
        <v>27</v>
      </c>
      <c r="C68" s="2" t="s">
        <v>15</v>
      </c>
      <c r="D68" s="2" t="s">
        <v>227</v>
      </c>
      <c r="E68" s="2" t="s">
        <v>22</v>
      </c>
      <c r="F68" s="5" t="s">
        <v>239</v>
      </c>
      <c r="G68" s="2" t="s">
        <v>240</v>
      </c>
      <c r="H68" s="2"/>
      <c r="I68" s="2"/>
      <c r="J68" s="2" t="s">
        <v>4</v>
      </c>
      <c r="K68" s="8"/>
      <c r="L68" s="2"/>
    </row>
    <row r="69" spans="1:12">
      <c r="A69" s="2" t="s">
        <v>241</v>
      </c>
      <c r="B69" s="2" t="s">
        <v>27</v>
      </c>
      <c r="C69" s="2" t="s">
        <v>15</v>
      </c>
      <c r="D69" s="2" t="s">
        <v>242</v>
      </c>
      <c r="E69" s="2" t="s">
        <v>22</v>
      </c>
      <c r="F69" s="5" t="s">
        <v>243</v>
      </c>
      <c r="G69" s="2" t="s">
        <v>244</v>
      </c>
      <c r="H69" s="2" t="s">
        <v>147</v>
      </c>
      <c r="I69" s="2"/>
      <c r="J69" s="2" t="s">
        <v>4</v>
      </c>
      <c r="K69" s="8"/>
      <c r="L69" s="2"/>
    </row>
    <row r="70" spans="1:12">
      <c r="A70" s="2" t="s">
        <v>245</v>
      </c>
      <c r="B70" s="2" t="s">
        <v>27</v>
      </c>
      <c r="C70" s="2" t="s">
        <v>15</v>
      </c>
      <c r="D70" s="2" t="s">
        <v>242</v>
      </c>
      <c r="E70" s="2" t="s">
        <v>23</v>
      </c>
      <c r="F70" s="5" t="s">
        <v>246</v>
      </c>
      <c r="G70" s="2" t="s">
        <v>247</v>
      </c>
      <c r="H70" s="2" t="s">
        <v>123</v>
      </c>
      <c r="I70" s="2"/>
      <c r="J70" s="2" t="s">
        <v>4</v>
      </c>
      <c r="K70" s="8"/>
      <c r="L70" s="2"/>
    </row>
    <row r="71" spans="1:12">
      <c r="A71" s="2" t="s">
        <v>248</v>
      </c>
      <c r="B71" s="2" t="s">
        <v>27</v>
      </c>
      <c r="C71" s="2" t="s">
        <v>15</v>
      </c>
      <c r="D71" s="2" t="s">
        <v>242</v>
      </c>
      <c r="E71" s="2" t="s">
        <v>23</v>
      </c>
      <c r="F71" s="5" t="s">
        <v>249</v>
      </c>
      <c r="G71" s="2" t="s">
        <v>250</v>
      </c>
      <c r="H71" s="2" t="s">
        <v>44</v>
      </c>
      <c r="I71" s="2"/>
      <c r="J71" s="2" t="s">
        <v>4</v>
      </c>
      <c r="K71" s="8"/>
      <c r="L71" s="2" t="s">
        <v>251</v>
      </c>
    </row>
    <row r="72" spans="1:12">
      <c r="A72" s="2" t="s">
        <v>252</v>
      </c>
      <c r="B72" s="2" t="s">
        <v>27</v>
      </c>
      <c r="C72" s="2" t="s">
        <v>15</v>
      </c>
      <c r="D72" s="2" t="s">
        <v>253</v>
      </c>
      <c r="E72" s="2" t="s">
        <v>23</v>
      </c>
      <c r="F72" s="5" t="s">
        <v>254</v>
      </c>
      <c r="G72" s="2"/>
      <c r="H72" s="2"/>
      <c r="I72" s="2"/>
      <c r="J72" s="2" t="s">
        <v>4</v>
      </c>
      <c r="K72" s="8"/>
      <c r="L72" s="2"/>
    </row>
    <row r="73" spans="1:12">
      <c r="A73" s="2" t="s">
        <v>255</v>
      </c>
      <c r="B73" s="2" t="s">
        <v>27</v>
      </c>
      <c r="C73" s="2" t="s">
        <v>15</v>
      </c>
      <c r="D73" s="2" t="s">
        <v>253</v>
      </c>
      <c r="E73" s="2" t="s">
        <v>23</v>
      </c>
      <c r="F73" s="5" t="s">
        <v>256</v>
      </c>
      <c r="G73" s="2"/>
      <c r="H73" s="2"/>
      <c r="I73" s="2"/>
      <c r="J73" s="2" t="s">
        <v>4</v>
      </c>
      <c r="K73" s="8"/>
      <c r="L73" s="2"/>
    </row>
    <row r="74" spans="1:12">
      <c r="A74" s="2" t="s">
        <v>257</v>
      </c>
      <c r="B74" s="2" t="s">
        <v>27</v>
      </c>
      <c r="C74" s="2" t="s">
        <v>15</v>
      </c>
      <c r="D74" s="2" t="s">
        <v>253</v>
      </c>
      <c r="E74" s="2" t="s">
        <v>23</v>
      </c>
      <c r="F74" s="5" t="s">
        <v>258</v>
      </c>
      <c r="G74" s="2"/>
      <c r="H74" s="2"/>
      <c r="I74" s="2"/>
      <c r="J74" s="2" t="s">
        <v>4</v>
      </c>
      <c r="K74" s="8"/>
      <c r="L74" s="2"/>
    </row>
    <row r="75" spans="1:12">
      <c r="A75" s="2" t="s">
        <v>259</v>
      </c>
      <c r="B75" s="2" t="s">
        <v>27</v>
      </c>
      <c r="C75" s="2" t="s">
        <v>15</v>
      </c>
      <c r="D75" s="2" t="s">
        <v>253</v>
      </c>
      <c r="E75" s="2" t="s">
        <v>23</v>
      </c>
      <c r="F75" s="5" t="s">
        <v>260</v>
      </c>
      <c r="G75" s="2"/>
      <c r="H75" s="2"/>
      <c r="I75" s="2"/>
      <c r="J75" s="2" t="s">
        <v>4</v>
      </c>
      <c r="K75" s="8"/>
      <c r="L75" s="2"/>
    </row>
    <row r="76" spans="1:12">
      <c r="A76" s="2" t="s">
        <v>261</v>
      </c>
      <c r="B76" s="2" t="s">
        <v>27</v>
      </c>
      <c r="C76" s="2" t="s">
        <v>15</v>
      </c>
      <c r="D76" s="2" t="s">
        <v>253</v>
      </c>
      <c r="E76" s="2" t="s">
        <v>23</v>
      </c>
      <c r="F76" s="5" t="s">
        <v>262</v>
      </c>
      <c r="G76" s="2"/>
      <c r="H76" s="2"/>
      <c r="I76" s="2"/>
      <c r="J76" s="2" t="s">
        <v>4</v>
      </c>
      <c r="K76" s="8"/>
      <c r="L76" s="2"/>
    </row>
    <row r="77" spans="1:12">
      <c r="A77" s="2" t="s">
        <v>263</v>
      </c>
      <c r="B77" s="2" t="s">
        <v>27</v>
      </c>
      <c r="C77" s="2" t="s">
        <v>15</v>
      </c>
      <c r="D77" s="2" t="s">
        <v>253</v>
      </c>
      <c r="E77" s="2" t="s">
        <v>23</v>
      </c>
      <c r="F77" s="5" t="s">
        <v>264</v>
      </c>
      <c r="G77" s="2"/>
      <c r="H77" s="2"/>
      <c r="I77" s="2"/>
      <c r="J77" s="2" t="s">
        <v>4</v>
      </c>
      <c r="K77" s="8"/>
      <c r="L77" s="2"/>
    </row>
    <row r="78" spans="1:12">
      <c r="A78" s="2" t="s">
        <v>265</v>
      </c>
      <c r="B78" s="2" t="s">
        <v>27</v>
      </c>
      <c r="C78" s="2" t="s">
        <v>15</v>
      </c>
      <c r="D78" s="2" t="s">
        <v>253</v>
      </c>
      <c r="E78" s="2" t="s">
        <v>23</v>
      </c>
      <c r="F78" s="5" t="s">
        <v>266</v>
      </c>
      <c r="G78" s="2"/>
      <c r="H78" s="2"/>
      <c r="I78" s="2"/>
      <c r="J78" s="2" t="s">
        <v>4</v>
      </c>
      <c r="K78" s="8"/>
      <c r="L78" s="2"/>
    </row>
    <row r="79" spans="1:12">
      <c r="A79" s="2" t="s">
        <v>267</v>
      </c>
      <c r="B79" s="2" t="s">
        <v>27</v>
      </c>
      <c r="C79" s="2" t="s">
        <v>15</v>
      </c>
      <c r="D79" s="2" t="s">
        <v>253</v>
      </c>
      <c r="E79" s="2" t="s">
        <v>23</v>
      </c>
      <c r="F79" s="5" t="s">
        <v>268</v>
      </c>
      <c r="G79" s="2"/>
      <c r="H79" s="2"/>
      <c r="I79" s="2"/>
      <c r="J79" s="2" t="s">
        <v>4</v>
      </c>
      <c r="K79" s="8"/>
      <c r="L79" s="2" t="s">
        <v>269</v>
      </c>
    </row>
    <row r="80" spans="1:12">
      <c r="A80" s="2" t="s">
        <v>270</v>
      </c>
      <c r="B80" s="2" t="s">
        <v>27</v>
      </c>
      <c r="C80" s="2" t="s">
        <v>15</v>
      </c>
      <c r="D80" s="2" t="s">
        <v>271</v>
      </c>
      <c r="E80" s="2" t="s">
        <v>23</v>
      </c>
      <c r="F80" s="5" t="s">
        <v>272</v>
      </c>
      <c r="G80" s="2"/>
      <c r="H80" s="2" t="s">
        <v>34</v>
      </c>
      <c r="I80" s="2"/>
      <c r="J80" s="2" t="s">
        <v>7</v>
      </c>
      <c r="K80" s="8">
        <v>46278.0</v>
      </c>
      <c r="L80" s="2" t="s">
        <v>273</v>
      </c>
    </row>
    <row r="81" spans="1:12">
      <c r="A81" s="2" t="s">
        <v>274</v>
      </c>
      <c r="B81" s="2" t="s">
        <v>27</v>
      </c>
      <c r="C81" s="2" t="s">
        <v>15</v>
      </c>
      <c r="D81" s="2" t="s">
        <v>271</v>
      </c>
      <c r="E81" s="2" t="s">
        <v>23</v>
      </c>
      <c r="F81" s="5" t="s">
        <v>275</v>
      </c>
      <c r="G81" s="2"/>
      <c r="H81" s="2" t="s">
        <v>39</v>
      </c>
      <c r="I81" s="2"/>
      <c r="J81" s="2" t="s">
        <v>7</v>
      </c>
      <c r="K81" s="8">
        <v>46278.0</v>
      </c>
      <c r="L81" s="2" t="s">
        <v>276</v>
      </c>
    </row>
    <row r="82" spans="1:12">
      <c r="A82" s="2" t="s">
        <v>277</v>
      </c>
      <c r="B82" s="2" t="s">
        <v>27</v>
      </c>
      <c r="C82" s="2" t="s">
        <v>15</v>
      </c>
      <c r="D82" s="2" t="s">
        <v>271</v>
      </c>
      <c r="E82" s="2" t="s">
        <v>23</v>
      </c>
      <c r="F82" s="5" t="s">
        <v>278</v>
      </c>
      <c r="G82" s="2"/>
      <c r="H82" s="2"/>
      <c r="I82" s="2"/>
      <c r="J82" s="2" t="s">
        <v>7</v>
      </c>
      <c r="K82" s="8">
        <v>46278.0</v>
      </c>
      <c r="L82" s="2" t="s">
        <v>279</v>
      </c>
    </row>
    <row r="83" spans="1:12">
      <c r="A83" s="2" t="s">
        <v>280</v>
      </c>
      <c r="B83" s="2" t="s">
        <v>27</v>
      </c>
      <c r="C83" s="2" t="s">
        <v>15</v>
      </c>
      <c r="D83" s="2" t="s">
        <v>271</v>
      </c>
      <c r="E83" s="2" t="s">
        <v>23</v>
      </c>
      <c r="F83" s="5" t="s">
        <v>281</v>
      </c>
      <c r="G83" s="2"/>
      <c r="H83" s="2"/>
      <c r="I83" s="2"/>
      <c r="J83" s="2" t="s">
        <v>7</v>
      </c>
      <c r="K83" s="8">
        <v>46278.0</v>
      </c>
      <c r="L83" s="2" t="s">
        <v>282</v>
      </c>
    </row>
    <row r="84" spans="1:12">
      <c r="A84" s="2" t="s">
        <v>283</v>
      </c>
      <c r="B84" s="2" t="s">
        <v>27</v>
      </c>
      <c r="C84" s="2" t="s">
        <v>15</v>
      </c>
      <c r="D84" s="2" t="s">
        <v>271</v>
      </c>
      <c r="E84" s="2" t="s">
        <v>23</v>
      </c>
      <c r="F84" s="5" t="s">
        <v>284</v>
      </c>
      <c r="G84" s="2"/>
      <c r="H84" s="2" t="s">
        <v>49</v>
      </c>
      <c r="I84" s="2"/>
      <c r="J84" s="2" t="s">
        <v>7</v>
      </c>
      <c r="K84" s="8">
        <v>46278.0</v>
      </c>
      <c r="L84" s="2" t="s">
        <v>285</v>
      </c>
    </row>
    <row r="85" spans="1:12">
      <c r="A85" s="2" t="s">
        <v>286</v>
      </c>
      <c r="B85" s="2" t="s">
        <v>27</v>
      </c>
      <c r="C85" s="2" t="s">
        <v>15</v>
      </c>
      <c r="D85" s="2" t="s">
        <v>271</v>
      </c>
      <c r="E85" s="2" t="s">
        <v>23</v>
      </c>
      <c r="F85" s="5" t="s">
        <v>287</v>
      </c>
      <c r="G85" s="2"/>
      <c r="H85" s="2" t="s">
        <v>54</v>
      </c>
      <c r="I85" s="2"/>
      <c r="J85" s="2" t="s">
        <v>7</v>
      </c>
      <c r="K85" s="8">
        <v>46278.0</v>
      </c>
      <c r="L85" s="2" t="s">
        <v>288</v>
      </c>
    </row>
    <row r="86" spans="1:12">
      <c r="A86" s="2" t="s">
        <v>289</v>
      </c>
      <c r="B86" s="2" t="s">
        <v>27</v>
      </c>
      <c r="C86" s="2" t="s">
        <v>15</v>
      </c>
      <c r="D86" s="2" t="s">
        <v>271</v>
      </c>
      <c r="E86" s="2" t="s">
        <v>23</v>
      </c>
      <c r="F86" s="5" t="s">
        <v>290</v>
      </c>
      <c r="G86" s="2"/>
      <c r="H86" s="2"/>
      <c r="I86" s="2"/>
      <c r="J86" s="2" t="s">
        <v>4</v>
      </c>
      <c r="K86" s="8"/>
      <c r="L86" s="2"/>
    </row>
    <row r="87" spans="1:12">
      <c r="A87" s="2" t="s">
        <v>291</v>
      </c>
      <c r="B87" s="2" t="s">
        <v>27</v>
      </c>
      <c r="C87" s="2" t="s">
        <v>15</v>
      </c>
      <c r="D87" s="2" t="s">
        <v>271</v>
      </c>
      <c r="E87" s="2" t="s">
        <v>23</v>
      </c>
      <c r="F87" s="5" t="s">
        <v>292</v>
      </c>
      <c r="G87" s="2"/>
      <c r="H87" s="2"/>
      <c r="I87" s="2"/>
      <c r="J87" s="2" t="s">
        <v>4</v>
      </c>
      <c r="K87" s="8"/>
      <c r="L87" s="2"/>
    </row>
    <row r="88" spans="1:12">
      <c r="A88" s="2" t="s">
        <v>293</v>
      </c>
      <c r="B88" s="2" t="s">
        <v>27</v>
      </c>
      <c r="C88" s="2" t="s">
        <v>15</v>
      </c>
      <c r="D88" s="2" t="s">
        <v>271</v>
      </c>
      <c r="E88" s="2" t="s">
        <v>23</v>
      </c>
      <c r="F88" s="5" t="s">
        <v>294</v>
      </c>
      <c r="G88" s="2"/>
      <c r="H88" s="2" t="s">
        <v>44</v>
      </c>
      <c r="I88" s="2"/>
      <c r="J88" s="2" t="s">
        <v>7</v>
      </c>
      <c r="K88" s="8">
        <v>46278.0</v>
      </c>
      <c r="L88" s="2" t="s">
        <v>295</v>
      </c>
    </row>
    <row r="89" spans="1:12">
      <c r="A89" s="2" t="s">
        <v>296</v>
      </c>
      <c r="B89" s="2" t="s">
        <v>27</v>
      </c>
      <c r="C89" s="2" t="s">
        <v>15</v>
      </c>
      <c r="D89" s="2" t="s">
        <v>271</v>
      </c>
      <c r="E89" s="2" t="s">
        <v>23</v>
      </c>
      <c r="F89" s="5" t="s">
        <v>297</v>
      </c>
      <c r="G89" s="2"/>
      <c r="H89" s="2"/>
      <c r="I89" s="2"/>
      <c r="J89" s="2" t="s">
        <v>4</v>
      </c>
      <c r="K89" s="8"/>
      <c r="L89" s="2"/>
    </row>
    <row r="90" spans="1:12">
      <c r="A90" s="2" t="s">
        <v>298</v>
      </c>
      <c r="B90" s="2" t="s">
        <v>27</v>
      </c>
      <c r="C90" s="2" t="s">
        <v>15</v>
      </c>
      <c r="D90" s="2" t="s">
        <v>271</v>
      </c>
      <c r="E90" s="2" t="s">
        <v>23</v>
      </c>
      <c r="F90" s="5" t="s">
        <v>299</v>
      </c>
      <c r="G90" s="2"/>
      <c r="H90" s="2"/>
      <c r="I90" s="2"/>
      <c r="J90" s="2" t="s">
        <v>4</v>
      </c>
      <c r="K90" s="8"/>
      <c r="L90" s="2"/>
    </row>
    <row r="91" spans="1:12">
      <c r="A91" s="2" t="s">
        <v>300</v>
      </c>
      <c r="B91" s="2" t="s">
        <v>27</v>
      </c>
      <c r="C91" s="2" t="s">
        <v>15</v>
      </c>
      <c r="D91" s="2" t="s">
        <v>301</v>
      </c>
      <c r="E91" s="2" t="s">
        <v>23</v>
      </c>
      <c r="F91" s="5" t="s">
        <v>302</v>
      </c>
      <c r="G91" s="2" t="s">
        <v>303</v>
      </c>
      <c r="H91" s="2"/>
      <c r="I91" s="2"/>
      <c r="J91" s="2" t="s">
        <v>4</v>
      </c>
      <c r="K91" s="8"/>
      <c r="L91" s="2"/>
    </row>
    <row r="92" spans="1:12">
      <c r="A92" s="2" t="s">
        <v>304</v>
      </c>
      <c r="B92" s="2" t="s">
        <v>27</v>
      </c>
      <c r="C92" s="2" t="s">
        <v>15</v>
      </c>
      <c r="D92" s="2" t="s">
        <v>301</v>
      </c>
      <c r="E92" s="2" t="s">
        <v>23</v>
      </c>
      <c r="F92" s="5" t="s">
        <v>305</v>
      </c>
      <c r="G92" s="2"/>
      <c r="H92" s="2"/>
      <c r="I92" s="2"/>
      <c r="J92" s="2" t="s">
        <v>4</v>
      </c>
      <c r="K92" s="8"/>
      <c r="L92" s="2"/>
    </row>
    <row r="93" spans="1:12">
      <c r="A93" s="2" t="s">
        <v>306</v>
      </c>
      <c r="B93" s="2" t="s">
        <v>27</v>
      </c>
      <c r="C93" s="2" t="s">
        <v>15</v>
      </c>
      <c r="D93" s="2" t="s">
        <v>301</v>
      </c>
      <c r="E93" s="2" t="s">
        <v>23</v>
      </c>
      <c r="F93" s="5" t="s">
        <v>307</v>
      </c>
      <c r="G93" s="2" t="s">
        <v>308</v>
      </c>
      <c r="H93" s="2" t="s">
        <v>309</v>
      </c>
      <c r="I93" s="2"/>
      <c r="J93" s="2" t="s">
        <v>4</v>
      </c>
      <c r="K93" s="8"/>
      <c r="L93" s="2"/>
    </row>
    <row r="94" spans="1:12">
      <c r="A94" s="2" t="s">
        <v>310</v>
      </c>
      <c r="B94" s="2" t="s">
        <v>27</v>
      </c>
      <c r="C94" s="2" t="s">
        <v>15</v>
      </c>
      <c r="D94" s="2" t="s">
        <v>301</v>
      </c>
      <c r="E94" s="2" t="s">
        <v>23</v>
      </c>
      <c r="F94" s="5" t="s">
        <v>311</v>
      </c>
      <c r="G94" s="2" t="s">
        <v>308</v>
      </c>
      <c r="H94" s="2" t="s">
        <v>309</v>
      </c>
      <c r="I94" s="2"/>
      <c r="J94" s="2" t="s">
        <v>4</v>
      </c>
      <c r="K94" s="8"/>
      <c r="L94" s="2"/>
    </row>
    <row r="95" spans="1:12">
      <c r="A95" s="2" t="s">
        <v>312</v>
      </c>
      <c r="B95" s="2" t="s">
        <v>27</v>
      </c>
      <c r="C95" s="2" t="s">
        <v>15</v>
      </c>
      <c r="D95" s="2" t="s">
        <v>301</v>
      </c>
      <c r="E95" s="2" t="s">
        <v>23</v>
      </c>
      <c r="F95" s="5" t="s">
        <v>313</v>
      </c>
      <c r="G95" s="2" t="s">
        <v>314</v>
      </c>
      <c r="H95" s="2"/>
      <c r="I95" s="2"/>
      <c r="J95" s="2" t="s">
        <v>4</v>
      </c>
      <c r="K95" s="8"/>
      <c r="L95" s="2"/>
    </row>
    <row r="96" spans="1:12">
      <c r="A96" s="2" t="s">
        <v>315</v>
      </c>
      <c r="B96" s="2" t="s">
        <v>27</v>
      </c>
      <c r="C96" s="2" t="s">
        <v>15</v>
      </c>
      <c r="D96" s="2" t="s">
        <v>301</v>
      </c>
      <c r="E96" s="2" t="s">
        <v>23</v>
      </c>
      <c r="F96" s="5" t="s">
        <v>316</v>
      </c>
      <c r="G96" s="2"/>
      <c r="H96" s="2"/>
      <c r="I96" s="2"/>
      <c r="J96" s="2" t="s">
        <v>4</v>
      </c>
      <c r="K96" s="8"/>
      <c r="L96" s="2"/>
    </row>
    <row r="97" spans="1:12">
      <c r="A97" s="2" t="s">
        <v>317</v>
      </c>
      <c r="B97" s="2" t="s">
        <v>27</v>
      </c>
      <c r="C97" s="2" t="s">
        <v>15</v>
      </c>
      <c r="D97" s="2" t="s">
        <v>301</v>
      </c>
      <c r="E97" s="2" t="s">
        <v>23</v>
      </c>
      <c r="F97" s="5" t="s">
        <v>318</v>
      </c>
      <c r="G97" s="2" t="s">
        <v>319</v>
      </c>
      <c r="H97" s="2"/>
      <c r="I97" s="2"/>
      <c r="J97" s="2" t="s">
        <v>4</v>
      </c>
      <c r="K97" s="8"/>
      <c r="L97" s="2"/>
    </row>
    <row r="98" spans="1:12">
      <c r="A98" s="2" t="s">
        <v>320</v>
      </c>
      <c r="B98" s="2" t="s">
        <v>27</v>
      </c>
      <c r="C98" s="2" t="s">
        <v>15</v>
      </c>
      <c r="D98" s="2" t="s">
        <v>301</v>
      </c>
      <c r="E98" s="2" t="s">
        <v>23</v>
      </c>
      <c r="F98" s="5" t="s">
        <v>321</v>
      </c>
      <c r="G98" s="2" t="s">
        <v>322</v>
      </c>
      <c r="H98" s="2"/>
      <c r="I98" s="2"/>
      <c r="J98" s="2" t="s">
        <v>4</v>
      </c>
      <c r="K98" s="8"/>
      <c r="L98" s="2"/>
    </row>
    <row r="99" spans="1:12">
      <c r="A99" s="2" t="s">
        <v>323</v>
      </c>
      <c r="B99" s="2" t="s">
        <v>27</v>
      </c>
      <c r="C99" s="2" t="s">
        <v>15</v>
      </c>
      <c r="D99" s="2" t="s">
        <v>301</v>
      </c>
      <c r="E99" s="2" t="s">
        <v>23</v>
      </c>
      <c r="F99" s="5" t="s">
        <v>324</v>
      </c>
      <c r="G99" s="2" t="s">
        <v>322</v>
      </c>
      <c r="H99" s="2"/>
      <c r="I99" s="2"/>
      <c r="J99" s="2" t="s">
        <v>4</v>
      </c>
      <c r="K99" s="8"/>
      <c r="L99" s="2"/>
    </row>
    <row r="100" spans="1:12">
      <c r="A100" s="2" t="s">
        <v>325</v>
      </c>
      <c r="B100" s="2" t="s">
        <v>27</v>
      </c>
      <c r="C100" s="2" t="s">
        <v>15</v>
      </c>
      <c r="D100" s="2" t="s">
        <v>301</v>
      </c>
      <c r="E100" s="2" t="s">
        <v>23</v>
      </c>
      <c r="F100" s="5" t="s">
        <v>326</v>
      </c>
      <c r="G100" s="2" t="s">
        <v>322</v>
      </c>
      <c r="H100" s="2"/>
      <c r="I100" s="2"/>
      <c r="J100" s="2" t="s">
        <v>4</v>
      </c>
      <c r="K100" s="8"/>
      <c r="L100" s="2"/>
    </row>
    <row r="101" spans="1:12">
      <c r="A101" s="2" t="s">
        <v>327</v>
      </c>
      <c r="B101" s="2" t="s">
        <v>27</v>
      </c>
      <c r="C101" s="2" t="s">
        <v>15</v>
      </c>
      <c r="D101" s="2" t="s">
        <v>301</v>
      </c>
      <c r="E101" s="2" t="s">
        <v>23</v>
      </c>
      <c r="F101" s="5" t="s">
        <v>328</v>
      </c>
      <c r="G101" s="2" t="s">
        <v>329</v>
      </c>
      <c r="H101" s="2"/>
      <c r="I101" s="2"/>
      <c r="J101" s="2" t="s">
        <v>4</v>
      </c>
      <c r="K101" s="8"/>
      <c r="L101" s="2"/>
    </row>
    <row r="102" spans="1:12">
      <c r="A102" s="2" t="s">
        <v>330</v>
      </c>
      <c r="B102" s="2" t="s">
        <v>27</v>
      </c>
      <c r="C102" s="2" t="s">
        <v>16</v>
      </c>
      <c r="D102" s="2"/>
      <c r="E102" s="2" t="s">
        <v>20</v>
      </c>
      <c r="F102" s="5" t="s">
        <v>331</v>
      </c>
      <c r="G102" s="2"/>
      <c r="H102" s="2"/>
      <c r="I102" s="2"/>
      <c r="J102" s="2" t="s">
        <v>4</v>
      </c>
      <c r="K102" s="8"/>
      <c r="L102" s="2"/>
    </row>
    <row r="103" spans="1:12">
      <c r="A103" s="2" t="s">
        <v>332</v>
      </c>
      <c r="B103" s="2" t="s">
        <v>27</v>
      </c>
      <c r="C103" s="2" t="s">
        <v>16</v>
      </c>
      <c r="D103" s="2"/>
      <c r="E103" s="2" t="s">
        <v>20</v>
      </c>
      <c r="F103" s="5" t="s">
        <v>333</v>
      </c>
      <c r="G103" s="2" t="s">
        <v>334</v>
      </c>
      <c r="H103" s="2" t="s">
        <v>39</v>
      </c>
      <c r="I103" s="2"/>
      <c r="J103" s="2" t="s">
        <v>4</v>
      </c>
      <c r="K103" s="8"/>
      <c r="L103" s="2" t="s">
        <v>335</v>
      </c>
    </row>
    <row r="104" spans="1:12">
      <c r="A104" s="2" t="s">
        <v>336</v>
      </c>
      <c r="B104" s="2" t="s">
        <v>27</v>
      </c>
      <c r="C104" s="2" t="s">
        <v>16</v>
      </c>
      <c r="D104" s="2"/>
      <c r="E104" s="2" t="s">
        <v>20</v>
      </c>
      <c r="F104" s="5" t="s">
        <v>337</v>
      </c>
      <c r="G104" s="2"/>
      <c r="H104" s="2"/>
      <c r="I104" s="2"/>
      <c r="J104" s="2" t="s">
        <v>4</v>
      </c>
      <c r="K104" s="8"/>
      <c r="L104" s="2"/>
    </row>
    <row r="105" spans="1:12">
      <c r="A105" s="2" t="s">
        <v>309</v>
      </c>
      <c r="B105" s="2" t="s">
        <v>27</v>
      </c>
      <c r="C105" s="2" t="s">
        <v>16</v>
      </c>
      <c r="D105" s="2"/>
      <c r="E105" s="2" t="s">
        <v>20</v>
      </c>
      <c r="F105" s="5" t="s">
        <v>338</v>
      </c>
      <c r="G105" s="2" t="s">
        <v>339</v>
      </c>
      <c r="H105" s="2" t="s">
        <v>340</v>
      </c>
      <c r="I105" s="2"/>
      <c r="J105" s="2" t="s">
        <v>4</v>
      </c>
      <c r="K105" s="8"/>
      <c r="L105" s="2"/>
    </row>
    <row r="106" spans="1:12">
      <c r="A106" s="2" t="s">
        <v>341</v>
      </c>
      <c r="B106" s="2" t="s">
        <v>27</v>
      </c>
      <c r="C106" s="2" t="s">
        <v>16</v>
      </c>
      <c r="D106" s="2"/>
      <c r="E106" s="2" t="s">
        <v>21</v>
      </c>
      <c r="F106" s="5" t="s">
        <v>342</v>
      </c>
      <c r="G106" s="2"/>
      <c r="H106" s="2"/>
      <c r="I106" s="2"/>
      <c r="J106" s="2" t="s">
        <v>4</v>
      </c>
      <c r="K106" s="8"/>
      <c r="L106" s="2"/>
    </row>
    <row r="107" spans="1:12">
      <c r="A107" s="2" t="s">
        <v>343</v>
      </c>
      <c r="B107" s="2" t="s">
        <v>27</v>
      </c>
      <c r="C107" s="2" t="s">
        <v>16</v>
      </c>
      <c r="D107" s="2"/>
      <c r="E107" s="2" t="s">
        <v>21</v>
      </c>
      <c r="F107" s="5" t="s">
        <v>344</v>
      </c>
      <c r="G107" s="2"/>
      <c r="H107" s="2"/>
      <c r="I107" s="2"/>
      <c r="J107" s="2" t="s">
        <v>4</v>
      </c>
      <c r="K107" s="8"/>
      <c r="L107" s="2"/>
    </row>
    <row r="108" spans="1:12">
      <c r="A108" s="2" t="s">
        <v>345</v>
      </c>
      <c r="B108" s="2" t="s">
        <v>27</v>
      </c>
      <c r="C108" s="2" t="s">
        <v>16</v>
      </c>
      <c r="D108" s="2"/>
      <c r="E108" s="2" t="s">
        <v>21</v>
      </c>
      <c r="F108" s="5" t="s">
        <v>346</v>
      </c>
      <c r="G108" s="2"/>
      <c r="H108" s="2"/>
      <c r="I108" s="2"/>
      <c r="J108" s="2" t="s">
        <v>4</v>
      </c>
      <c r="K108" s="8"/>
      <c r="L108" s="2"/>
    </row>
    <row r="109" spans="1:12">
      <c r="A109" s="2" t="s">
        <v>347</v>
      </c>
      <c r="B109" s="2" t="s">
        <v>27</v>
      </c>
      <c r="C109" s="2" t="s">
        <v>16</v>
      </c>
      <c r="D109" s="2"/>
      <c r="E109" s="2" t="s">
        <v>21</v>
      </c>
      <c r="F109" s="5" t="s">
        <v>348</v>
      </c>
      <c r="G109" s="2"/>
      <c r="H109" s="2"/>
      <c r="I109" s="2"/>
      <c r="J109" s="2" t="s">
        <v>4</v>
      </c>
      <c r="K109" s="8"/>
      <c r="L109" s="2"/>
    </row>
    <row r="110" spans="1:12">
      <c r="A110" s="2" t="s">
        <v>349</v>
      </c>
      <c r="B110" s="2" t="s">
        <v>27</v>
      </c>
      <c r="C110" s="2" t="s">
        <v>16</v>
      </c>
      <c r="D110" s="2"/>
      <c r="E110" s="2" t="s">
        <v>23</v>
      </c>
      <c r="F110" s="5" t="s">
        <v>350</v>
      </c>
      <c r="G110" s="2" t="s">
        <v>351</v>
      </c>
      <c r="H110" s="2"/>
      <c r="I110" s="2"/>
      <c r="J110" s="2" t="s">
        <v>4</v>
      </c>
      <c r="K110" s="8"/>
      <c r="L110" s="2"/>
    </row>
    <row r="111" spans="1:12">
      <c r="A111" s="2" t="s">
        <v>352</v>
      </c>
      <c r="B111" s="2" t="s">
        <v>27</v>
      </c>
      <c r="C111" s="2" t="s">
        <v>16</v>
      </c>
      <c r="D111" s="2"/>
      <c r="E111" s="2" t="s">
        <v>23</v>
      </c>
      <c r="F111" s="5" t="s">
        <v>353</v>
      </c>
      <c r="G111" s="2" t="s">
        <v>351</v>
      </c>
      <c r="H111" s="2"/>
      <c r="I111" s="2"/>
      <c r="J111" s="2" t="s">
        <v>4</v>
      </c>
      <c r="K111" s="8"/>
      <c r="L111" s="2"/>
    </row>
    <row r="112" spans="1:12">
      <c r="A112" s="2" t="s">
        <v>354</v>
      </c>
      <c r="B112" s="2" t="s">
        <v>27</v>
      </c>
      <c r="C112" s="2" t="s">
        <v>17</v>
      </c>
      <c r="D112" s="2"/>
      <c r="E112" s="2" t="s">
        <v>23</v>
      </c>
      <c r="F112" s="5" t="s">
        <v>355</v>
      </c>
      <c r="G112" s="2" t="s">
        <v>356</v>
      </c>
      <c r="H112" s="2"/>
      <c r="I112" s="2"/>
      <c r="J112" s="2" t="s">
        <v>4</v>
      </c>
      <c r="K112" s="8"/>
      <c r="L112" s="2"/>
    </row>
    <row r="113" spans="1:12">
      <c r="A113" s="2" t="s">
        <v>357</v>
      </c>
      <c r="B113" s="2" t="s">
        <v>27</v>
      </c>
      <c r="C113" s="2" t="s">
        <v>17</v>
      </c>
      <c r="D113" s="2"/>
      <c r="E113" s="2" t="s">
        <v>23</v>
      </c>
      <c r="F113" s="5" t="s">
        <v>358</v>
      </c>
      <c r="G113" s="2" t="s">
        <v>359</v>
      </c>
      <c r="H113" s="2"/>
      <c r="I113" s="2"/>
      <c r="J113" s="2" t="s">
        <v>4</v>
      </c>
      <c r="K113" s="8"/>
      <c r="L113" s="2"/>
    </row>
    <row r="114" spans="1:12">
      <c r="A114" s="2" t="s">
        <v>360</v>
      </c>
      <c r="B114" s="2" t="s">
        <v>27</v>
      </c>
      <c r="C114" s="2" t="s">
        <v>17</v>
      </c>
      <c r="D114" s="2"/>
      <c r="E114" s="2" t="s">
        <v>23</v>
      </c>
      <c r="F114" s="5" t="s">
        <v>361</v>
      </c>
      <c r="G114" s="2" t="s">
        <v>362</v>
      </c>
      <c r="H114" s="2"/>
      <c r="I114" s="2"/>
      <c r="J114" s="2" t="s">
        <v>4</v>
      </c>
      <c r="K114" s="8"/>
      <c r="L114" s="2"/>
    </row>
    <row r="115" spans="1:12">
      <c r="A115" s="2" t="s">
        <v>363</v>
      </c>
      <c r="B115" s="2" t="s">
        <v>27</v>
      </c>
      <c r="C115" s="2" t="s">
        <v>17</v>
      </c>
      <c r="D115" s="2"/>
      <c r="E115" s="2" t="s">
        <v>23</v>
      </c>
      <c r="F115" s="5" t="s">
        <v>364</v>
      </c>
      <c r="G115" s="2"/>
      <c r="H115" s="2"/>
      <c r="I115" s="2"/>
      <c r="J115" s="2" t="s">
        <v>4</v>
      </c>
      <c r="K115" s="8"/>
      <c r="L115" s="2"/>
    </row>
    <row r="116" spans="1:12">
      <c r="A116" s="2" t="s">
        <v>365</v>
      </c>
      <c r="B116" s="2" t="s">
        <v>27</v>
      </c>
      <c r="C116" s="2" t="s">
        <v>17</v>
      </c>
      <c r="D116" s="2"/>
      <c r="E116" s="2" t="s">
        <v>23</v>
      </c>
      <c r="F116" s="5" t="s">
        <v>366</v>
      </c>
      <c r="G116" s="2"/>
      <c r="H116" s="2"/>
      <c r="I116" s="2"/>
      <c r="J116" s="2" t="s">
        <v>4</v>
      </c>
      <c r="K116" s="8"/>
      <c r="L116" s="2"/>
    </row>
    <row r="117" spans="1:12">
      <c r="A117" s="2" t="s">
        <v>367</v>
      </c>
      <c r="B117" s="2" t="s">
        <v>27</v>
      </c>
      <c r="C117" s="2" t="s">
        <v>17</v>
      </c>
      <c r="D117" s="2"/>
      <c r="E117" s="2" t="s">
        <v>23</v>
      </c>
      <c r="F117" s="5" t="s">
        <v>368</v>
      </c>
      <c r="G117" s="2"/>
      <c r="H117" s="2"/>
      <c r="I117" s="2"/>
      <c r="J117" s="2" t="s">
        <v>4</v>
      </c>
      <c r="K117" s="8"/>
      <c r="L117" s="2"/>
    </row>
    <row r="118" spans="1:12">
      <c r="A118" s="2" t="s">
        <v>369</v>
      </c>
      <c r="B118" s="2" t="s">
        <v>27</v>
      </c>
      <c r="C118" s="2" t="s">
        <v>17</v>
      </c>
      <c r="D118" s="2"/>
      <c r="E118" s="2" t="s">
        <v>23</v>
      </c>
      <c r="F118" s="5" t="s">
        <v>370</v>
      </c>
      <c r="G118" s="2" t="s">
        <v>371</v>
      </c>
      <c r="H118" s="2"/>
      <c r="I118" s="2"/>
      <c r="J118" s="2" t="s">
        <v>4</v>
      </c>
      <c r="K118" s="8"/>
      <c r="L118" s="2"/>
    </row>
    <row r="119" spans="1:12">
      <c r="A119" s="2" t="s">
        <v>372</v>
      </c>
      <c r="B119" s="2" t="s">
        <v>27</v>
      </c>
      <c r="C119" s="2" t="s">
        <v>17</v>
      </c>
      <c r="D119" s="2"/>
      <c r="E119" s="2" t="s">
        <v>23</v>
      </c>
      <c r="F119" s="5" t="s">
        <v>373</v>
      </c>
      <c r="G119" s="2" t="s">
        <v>374</v>
      </c>
      <c r="H119" s="2"/>
      <c r="I119" s="2"/>
      <c r="J119" s="2" t="s">
        <v>4</v>
      </c>
      <c r="K119" s="8"/>
      <c r="L119" s="2"/>
    </row>
    <row r="120" spans="1:12">
      <c r="A120" s="2" t="s">
        <v>375</v>
      </c>
      <c r="B120" s="2" t="s">
        <v>27</v>
      </c>
      <c r="C120" s="2" t="s">
        <v>18</v>
      </c>
      <c r="D120" s="2"/>
      <c r="E120" s="2" t="s">
        <v>21</v>
      </c>
      <c r="F120" s="5" t="s">
        <v>376</v>
      </c>
      <c r="G120" s="2" t="s">
        <v>377</v>
      </c>
      <c r="H120" s="2"/>
      <c r="I120" s="2"/>
      <c r="J120" s="2" t="s">
        <v>6</v>
      </c>
      <c r="K120" s="8">
        <v>46278.0</v>
      </c>
      <c r="L120" s="2" t="s">
        <v>378</v>
      </c>
    </row>
    <row r="121" spans="1:12">
      <c r="A121" s="3" t="s">
        <v>379</v>
      </c>
      <c r="B121" s="3" t="s">
        <v>83</v>
      </c>
      <c r="C121" s="3" t="s">
        <v>18</v>
      </c>
      <c r="D121" s="3"/>
      <c r="E121" s="3" t="s">
        <v>21</v>
      </c>
      <c r="F121" s="6" t="s">
        <v>380</v>
      </c>
      <c r="G121" s="3"/>
      <c r="H121" s="3"/>
      <c r="I121" s="3"/>
      <c r="J121" s="3" t="s">
        <v>6</v>
      </c>
      <c r="K121" s="9">
        <v>46278.0</v>
      </c>
      <c r="L121" s="3"/>
    </row>
    <row r="122" spans="1:12">
      <c r="A122" s="3" t="s">
        <v>381</v>
      </c>
      <c r="B122" s="3" t="s">
        <v>83</v>
      </c>
      <c r="C122" s="3" t="s">
        <v>18</v>
      </c>
      <c r="D122" s="3"/>
      <c r="E122" s="3" t="s">
        <v>21</v>
      </c>
      <c r="F122" s="6" t="s">
        <v>382</v>
      </c>
      <c r="G122" s="3"/>
      <c r="H122" s="3"/>
      <c r="I122" s="3"/>
      <c r="J122" s="3" t="s">
        <v>6</v>
      </c>
      <c r="K122" s="9">
        <v>46278.0</v>
      </c>
      <c r="L122" s="3"/>
    </row>
    <row r="123" spans="1:12">
      <c r="A123" s="3" t="s">
        <v>383</v>
      </c>
      <c r="B123" s="3" t="s">
        <v>83</v>
      </c>
      <c r="C123" s="3" t="s">
        <v>18</v>
      </c>
      <c r="D123" s="3"/>
      <c r="E123" s="3" t="s">
        <v>21</v>
      </c>
      <c r="F123" s="6" t="s">
        <v>384</v>
      </c>
      <c r="G123" s="3"/>
      <c r="H123" s="3"/>
      <c r="I123" s="3"/>
      <c r="J123" s="3" t="s">
        <v>6</v>
      </c>
      <c r="K123" s="9">
        <v>46278.0</v>
      </c>
      <c r="L123" s="3"/>
    </row>
    <row r="124" spans="1:12">
      <c r="A124" s="3" t="s">
        <v>385</v>
      </c>
      <c r="B124" s="3" t="s">
        <v>83</v>
      </c>
      <c r="C124" s="3" t="s">
        <v>18</v>
      </c>
      <c r="D124" s="3"/>
      <c r="E124" s="3" t="s">
        <v>21</v>
      </c>
      <c r="F124" s="6" t="s">
        <v>386</v>
      </c>
      <c r="G124" s="3"/>
      <c r="H124" s="3"/>
      <c r="I124" s="3"/>
      <c r="J124" s="3" t="s">
        <v>6</v>
      </c>
      <c r="K124" s="9">
        <v>46278.0</v>
      </c>
      <c r="L124" s="3"/>
    </row>
    <row r="125" spans="1:12">
      <c r="A125" s="3" t="s">
        <v>387</v>
      </c>
      <c r="B125" s="3" t="s">
        <v>83</v>
      </c>
      <c r="C125" s="3" t="s">
        <v>18</v>
      </c>
      <c r="D125" s="3"/>
      <c r="E125" s="3" t="s">
        <v>21</v>
      </c>
      <c r="F125" s="6" t="s">
        <v>388</v>
      </c>
      <c r="G125" s="3"/>
      <c r="H125" s="3"/>
      <c r="I125" s="3"/>
      <c r="J125" s="3" t="s">
        <v>6</v>
      </c>
      <c r="K125" s="9">
        <v>46278.0</v>
      </c>
      <c r="L125" s="3"/>
    </row>
    <row r="126" spans="1:12">
      <c r="A126" s="3" t="s">
        <v>389</v>
      </c>
      <c r="B126" s="3" t="s">
        <v>83</v>
      </c>
      <c r="C126" s="3" t="s">
        <v>18</v>
      </c>
      <c r="D126" s="3"/>
      <c r="E126" s="3" t="s">
        <v>21</v>
      </c>
      <c r="F126" s="6" t="s">
        <v>390</v>
      </c>
      <c r="G126" s="3"/>
      <c r="H126" s="3"/>
      <c r="I126" s="3"/>
      <c r="J126" s="3" t="s">
        <v>6</v>
      </c>
      <c r="K126" s="9">
        <v>46278.0</v>
      </c>
      <c r="L126" s="3"/>
    </row>
    <row r="127" spans="1:12">
      <c r="A127" s="4" t="s">
        <v>391</v>
      </c>
      <c r="B127" s="4" t="s">
        <v>83</v>
      </c>
      <c r="C127" s="4" t="s">
        <v>18</v>
      </c>
      <c r="D127" s="4"/>
      <c r="E127" s="4" t="s">
        <v>21</v>
      </c>
      <c r="F127" s="7" t="s">
        <v>392</v>
      </c>
      <c r="G127" s="4"/>
      <c r="H127" s="4"/>
      <c r="I127" s="4"/>
      <c r="J127" s="4" t="s">
        <v>6</v>
      </c>
      <c r="K127" s="10">
        <v>46278.0</v>
      </c>
      <c r="L127" s="4"/>
    </row>
    <row r="128" spans="1:12">
      <c r="A128" s="2" t="s">
        <v>393</v>
      </c>
      <c r="B128" s="2" t="s">
        <v>27</v>
      </c>
      <c r="C128" s="2" t="s">
        <v>18</v>
      </c>
      <c r="D128" s="2"/>
      <c r="E128" s="2" t="s">
        <v>23</v>
      </c>
      <c r="F128" s="2" t="s">
        <v>394</v>
      </c>
      <c r="G128" s="2" t="s">
        <v>395</v>
      </c>
      <c r="H128" s="2"/>
      <c r="I128" s="2" t="s">
        <v>396</v>
      </c>
      <c r="J128" s="2" t="s">
        <v>4</v>
      </c>
      <c r="K128" s="8"/>
      <c r="L128" s="2"/>
    </row>
    <row r="129" spans="1:12">
      <c r="A129" s="2" t="s">
        <v>397</v>
      </c>
      <c r="B129" s="2" t="s">
        <v>27</v>
      </c>
      <c r="C129" s="2" t="s">
        <v>18</v>
      </c>
      <c r="D129" s="2"/>
      <c r="E129" s="2" t="s">
        <v>23</v>
      </c>
      <c r="F129" s="2" t="s">
        <v>398</v>
      </c>
      <c r="G129" s="2" t="s">
        <v>399</v>
      </c>
      <c r="H129" s="2"/>
      <c r="I129" s="2" t="s">
        <v>396</v>
      </c>
      <c r="J129" s="2" t="s">
        <v>4</v>
      </c>
      <c r="K129" s="8"/>
      <c r="L129" s="2"/>
    </row>
    <row r="130" spans="1:12">
      <c r="A130" s="3" t="s">
        <v>400</v>
      </c>
      <c r="B130" s="3" t="s">
        <v>83</v>
      </c>
      <c r="C130" s="3" t="s">
        <v>12</v>
      </c>
      <c r="D130" s="3"/>
      <c r="E130" s="3" t="s">
        <v>20</v>
      </c>
      <c r="F130" s="3" t="s">
        <v>401</v>
      </c>
      <c r="G130" s="3" t="s">
        <v>402</v>
      </c>
      <c r="H130" s="3"/>
      <c r="I130" s="3" t="s">
        <v>403</v>
      </c>
      <c r="J130" s="3" t="s">
        <v>4</v>
      </c>
      <c r="K130" s="9"/>
      <c r="L130" s="3"/>
    </row>
    <row r="131" spans="1:12">
      <c r="A131" s="2" t="s">
        <v>404</v>
      </c>
      <c r="B131" s="2" t="s">
        <v>27</v>
      </c>
      <c r="C131" s="2" t="s">
        <v>10</v>
      </c>
      <c r="D131" s="2"/>
      <c r="E131" s="2" t="s">
        <v>22</v>
      </c>
      <c r="F131" s="2" t="s">
        <v>405</v>
      </c>
      <c r="G131" s="2" t="s">
        <v>406</v>
      </c>
      <c r="H131" s="2"/>
      <c r="I131" s="2" t="s">
        <v>407</v>
      </c>
      <c r="J131" s="2" t="s">
        <v>4</v>
      </c>
      <c r="K131" s="8"/>
      <c r="L131" s="2"/>
    </row>
    <row r="132" spans="1:12">
      <c r="A132" s="2" t="s">
        <v>408</v>
      </c>
      <c r="B132" s="2" t="s">
        <v>27</v>
      </c>
      <c r="C132" s="2" t="s">
        <v>14</v>
      </c>
      <c r="D132" s="2"/>
      <c r="E132" s="2" t="s">
        <v>21</v>
      </c>
      <c r="F132" s="2" t="s">
        <v>409</v>
      </c>
      <c r="G132" s="2" t="s">
        <v>410</v>
      </c>
      <c r="H132" s="2"/>
      <c r="I132" s="2" t="s">
        <v>411</v>
      </c>
      <c r="J132" s="2" t="s">
        <v>4</v>
      </c>
      <c r="K132" s="8"/>
      <c r="L132" s="2"/>
    </row>
    <row r="133" spans="1:12">
      <c r="A133" s="2" t="s">
        <v>412</v>
      </c>
      <c r="B133" s="2" t="s">
        <v>27</v>
      </c>
      <c r="C133" s="2" t="s">
        <v>11</v>
      </c>
      <c r="D133" s="2"/>
      <c r="E133" s="2" t="s">
        <v>22</v>
      </c>
      <c r="F133" s="2" t="s">
        <v>413</v>
      </c>
      <c r="G133" s="2" t="s">
        <v>414</v>
      </c>
      <c r="H133" s="2"/>
      <c r="I133" s="2" t="s">
        <v>415</v>
      </c>
      <c r="J133" s="2" t="s">
        <v>6</v>
      </c>
      <c r="K133" s="8">
        <v>46278.0</v>
      </c>
      <c r="L133" s="2" t="s">
        <v>416</v>
      </c>
    </row>
    <row r="134" spans="1:12">
      <c r="A134" s="2" t="s">
        <v>417</v>
      </c>
      <c r="B134" s="2" t="s">
        <v>27</v>
      </c>
      <c r="C134" s="2" t="s">
        <v>11</v>
      </c>
      <c r="D134" s="2"/>
      <c r="E134" s="2" t="s">
        <v>22</v>
      </c>
      <c r="F134" s="2" t="s">
        <v>418</v>
      </c>
      <c r="G134" s="2" t="s">
        <v>419</v>
      </c>
      <c r="H134" s="2"/>
      <c r="I134" s="2" t="s">
        <v>415</v>
      </c>
      <c r="J134" s="2" t="s">
        <v>6</v>
      </c>
      <c r="K134" s="8">
        <v>46278.0</v>
      </c>
      <c r="L134" s="2" t="s">
        <v>420</v>
      </c>
    </row>
    <row r="135" spans="1:12">
      <c r="A135" s="2" t="s">
        <v>421</v>
      </c>
      <c r="B135" s="2" t="s">
        <v>27</v>
      </c>
      <c r="C135" s="2" t="s">
        <v>18</v>
      </c>
      <c r="D135" s="2"/>
      <c r="E135" s="2" t="s">
        <v>20</v>
      </c>
      <c r="F135" s="2" t="s">
        <v>422</v>
      </c>
      <c r="G135" s="2" t="s">
        <v>423</v>
      </c>
      <c r="H135" s="2"/>
      <c r="I135" s="2" t="s">
        <v>424</v>
      </c>
      <c r="J135" s="2" t="s">
        <v>6</v>
      </c>
      <c r="K135" s="8">
        <v>46278.0</v>
      </c>
      <c r="L135" s="2" t="s">
        <v>425</v>
      </c>
    </row>
    <row r="136" spans="1:12">
      <c r="A136" s="2" t="s">
        <v>426</v>
      </c>
      <c r="B136" s="2" t="s">
        <v>27</v>
      </c>
      <c r="C136" s="2" t="s">
        <v>18</v>
      </c>
      <c r="D136" s="2"/>
      <c r="E136" s="2" t="s">
        <v>21</v>
      </c>
      <c r="F136" s="2" t="s">
        <v>427</v>
      </c>
      <c r="G136" s="2" t="s">
        <v>428</v>
      </c>
      <c r="H136" s="2"/>
      <c r="I136" s="2" t="s">
        <v>424</v>
      </c>
      <c r="J136" s="2" t="s">
        <v>4</v>
      </c>
      <c r="K136" s="8"/>
      <c r="L136" s="2" t="s">
        <v>429</v>
      </c>
    </row>
    <row r="137" spans="1:12">
      <c r="K137" s="11"/>
    </row>
    <row r="138" spans="1:12">
      <c r="K138" s="11"/>
    </row>
    <row r="139" spans="1:12">
      <c r="K139" s="11"/>
    </row>
    <row r="140" spans="1:12">
      <c r="K140" s="11"/>
    </row>
    <row r="141" spans="1:12">
      <c r="K141" s="11"/>
    </row>
    <row r="142" spans="1:12">
      <c r="K142" s="11"/>
    </row>
    <row r="143" spans="1:12">
      <c r="K143" s="11"/>
    </row>
    <row r="144" spans="1:12">
      <c r="K144" s="11"/>
    </row>
    <row r="145" spans="1:12">
      <c r="K145" s="11"/>
    </row>
    <row r="146" spans="1:12">
      <c r="K146" s="11"/>
    </row>
    <row r="147" spans="1:12">
      <c r="K147" s="11"/>
    </row>
    <row r="148" spans="1:12">
      <c r="K148" s="11"/>
    </row>
    <row r="149" spans="1:12">
      <c r="K149" s="11"/>
    </row>
    <row r="150" spans="1:12">
      <c r="K150" s="11"/>
    </row>
    <row r="151" spans="1:12">
      <c r="K151" s="11"/>
    </row>
    <row r="152" spans="1:12">
      <c r="K152" s="11"/>
    </row>
    <row r="153" spans="1:12">
      <c r="K153" s="11"/>
    </row>
    <row r="154" spans="1:12">
      <c r="K154" s="11"/>
    </row>
    <row r="155" spans="1:12">
      <c r="K155" s="11"/>
    </row>
    <row r="156" spans="1:12">
      <c r="K156" s="11"/>
    </row>
    <row r="157" spans="1:12">
      <c r="K157" s="11"/>
    </row>
    <row r="158" spans="1:12">
      <c r="K158" s="11"/>
    </row>
    <row r="159" spans="1:12">
      <c r="K159" s="11"/>
    </row>
    <row r="160" spans="1:12">
      <c r="K160" s="11"/>
    </row>
    <row r="161" spans="1:12">
      <c r="K161" s="11"/>
    </row>
    <row r="162" spans="1:12">
      <c r="K162" s="11"/>
    </row>
    <row r="163" spans="1:12">
      <c r="K163" s="11"/>
    </row>
    <row r="164" spans="1:12">
      <c r="K164" s="11"/>
    </row>
    <row r="165" spans="1:12">
      <c r="K165" s="11"/>
    </row>
    <row r="166" spans="1:12">
      <c r="K166" s="11"/>
    </row>
    <row r="167" spans="1:12">
      <c r="K167" s="11"/>
    </row>
    <row r="168" spans="1:12">
      <c r="K168" s="11"/>
    </row>
    <row r="169" spans="1:12">
      <c r="K169" s="11"/>
    </row>
    <row r="170" spans="1:12">
      <c r="K170" s="11"/>
    </row>
    <row r="171" spans="1:12">
      <c r="K171" s="11"/>
    </row>
    <row r="172" spans="1:12">
      <c r="K172" s="11"/>
    </row>
    <row r="173" spans="1:12">
      <c r="K173" s="11"/>
    </row>
    <row r="174" spans="1:12">
      <c r="K174" s="11"/>
    </row>
    <row r="175" spans="1:12">
      <c r="K175" s="11"/>
    </row>
    <row r="176" spans="1:12">
      <c r="K176" s="11"/>
    </row>
    <row r="177" spans="1:12">
      <c r="K177" s="11"/>
    </row>
    <row r="178" spans="1:12">
      <c r="K178" s="11"/>
    </row>
    <row r="179" spans="1:12">
      <c r="K179" s="11"/>
    </row>
    <row r="180" spans="1:12">
      <c r="K180" s="11"/>
    </row>
    <row r="181" spans="1:12">
      <c r="K181" s="11"/>
    </row>
    <row r="182" spans="1:12">
      <c r="K182" s="11"/>
    </row>
    <row r="183" spans="1:12">
      <c r="K183" s="11"/>
    </row>
    <row r="184" spans="1:12">
      <c r="K184" s="11"/>
    </row>
    <row r="185" spans="1:12">
      <c r="K185" s="11"/>
    </row>
    <row r="186" spans="1:12">
      <c r="K186" s="11"/>
    </row>
    <row r="187" spans="1:12">
      <c r="K187" s="11"/>
    </row>
    <row r="188" spans="1:12">
      <c r="K188" s="11"/>
    </row>
    <row r="189" spans="1:12">
      <c r="K189" s="11"/>
    </row>
    <row r="190" spans="1:12">
      <c r="K190" s="11"/>
    </row>
    <row r="191" spans="1:12">
      <c r="K191" s="11"/>
    </row>
    <row r="192" spans="1:12">
      <c r="K192" s="11"/>
    </row>
    <row r="193" spans="1:12">
      <c r="K193" s="11"/>
    </row>
    <row r="194" spans="1:12">
      <c r="K194" s="11"/>
    </row>
    <row r="195" spans="1:12">
      <c r="K195" s="11"/>
    </row>
    <row r="196" spans="1:12">
      <c r="K196" s="11"/>
    </row>
    <row r="197" spans="1:12">
      <c r="K197" s="11"/>
    </row>
    <row r="198" spans="1:12">
      <c r="K198" s="11"/>
    </row>
    <row r="199" spans="1:12">
      <c r="K199" s="11"/>
    </row>
    <row r="200" spans="1:12">
      <c r="K200" s="11"/>
    </row>
    <row r="201" spans="1:12">
      <c r="K201" s="11"/>
    </row>
    <row r="202" spans="1:12">
      <c r="K202" s="11"/>
    </row>
    <row r="203" spans="1:12">
      <c r="K203" s="11"/>
    </row>
    <row r="204" spans="1:12">
      <c r="K204" s="11"/>
    </row>
    <row r="205" spans="1:12">
      <c r="K205" s="11"/>
    </row>
    <row r="206" spans="1:12">
      <c r="K206" s="11"/>
    </row>
    <row r="207" spans="1:12">
      <c r="K207" s="11"/>
    </row>
    <row r="208" spans="1:12">
      <c r="K208" s="11"/>
    </row>
    <row r="209" spans="1:12">
      <c r="K209" s="11"/>
    </row>
    <row r="210" spans="1:12">
      <c r="K210" s="11"/>
    </row>
    <row r="211" spans="1:12">
      <c r="K211" s="11"/>
    </row>
    <row r="212" spans="1:12">
      <c r="K212" s="11"/>
    </row>
    <row r="213" spans="1:12">
      <c r="K213" s="11"/>
    </row>
    <row r="214" spans="1:12">
      <c r="K214" s="11"/>
    </row>
    <row r="215" spans="1:12">
      <c r="K215" s="11"/>
    </row>
    <row r="216" spans="1:12">
      <c r="K216" s="11"/>
    </row>
    <row r="217" spans="1:12">
      <c r="K217" s="11"/>
    </row>
    <row r="218" spans="1:12">
      <c r="K218" s="11"/>
    </row>
    <row r="219" spans="1:12">
      <c r="K219" s="11"/>
    </row>
    <row r="220" spans="1:12">
      <c r="K220" s="11"/>
    </row>
    <row r="221" spans="1:12">
      <c r="K221" s="11"/>
    </row>
    <row r="222" spans="1:12">
      <c r="K222" s="11"/>
    </row>
    <row r="223" spans="1:12">
      <c r="K223" s="11"/>
    </row>
    <row r="224" spans="1:12">
      <c r="K224" s="11"/>
    </row>
    <row r="225" spans="1:12">
      <c r="K225" s="11"/>
    </row>
    <row r="226" spans="1:12">
      <c r="K226" s="11"/>
    </row>
    <row r="227" spans="1:12">
      <c r="K227" s="11"/>
    </row>
    <row r="228" spans="1:12">
      <c r="K228" s="11"/>
    </row>
    <row r="229" spans="1:12">
      <c r="K229" s="11"/>
    </row>
    <row r="230" spans="1:12">
      <c r="K230" s="11"/>
    </row>
    <row r="231" spans="1:12">
      <c r="K231" s="11"/>
    </row>
    <row r="232" spans="1:12">
      <c r="K232" s="11"/>
    </row>
    <row r="233" spans="1:12">
      <c r="K233" s="11"/>
    </row>
    <row r="234" spans="1:12">
      <c r="K234" s="11"/>
    </row>
    <row r="235" spans="1:12">
      <c r="K235" s="11"/>
    </row>
    <row r="236" spans="1:12">
      <c r="K236" s="11"/>
    </row>
    <row r="237" spans="1:12">
      <c r="K237" s="11"/>
    </row>
    <row r="238" spans="1:12">
      <c r="K238" s="11"/>
    </row>
    <row r="239" spans="1:12">
      <c r="K239" s="11"/>
    </row>
    <row r="240" spans="1:12">
      <c r="K240" s="11"/>
    </row>
    <row r="241" spans="1:12">
      <c r="K241" s="11"/>
    </row>
    <row r="242" spans="1:12">
      <c r="K242" s="11"/>
    </row>
    <row r="243" spans="1:12">
      <c r="K243" s="11"/>
    </row>
    <row r="244" spans="1:12">
      <c r="K244" s="11"/>
    </row>
    <row r="245" spans="1:12">
      <c r="K245" s="11"/>
    </row>
    <row r="246" spans="1:12">
      <c r="K246" s="11"/>
    </row>
    <row r="247" spans="1:12">
      <c r="K247" s="11"/>
    </row>
    <row r="248" spans="1:12">
      <c r="K248" s="11"/>
    </row>
    <row r="249" spans="1:12">
      <c r="K249" s="11"/>
    </row>
    <row r="250" spans="1:12">
      <c r="K250" s="11"/>
    </row>
    <row r="251" spans="1:12">
      <c r="K251" s="11"/>
    </row>
    <row r="252" spans="1:12">
      <c r="K252" s="11"/>
    </row>
    <row r="253" spans="1:12">
      <c r="K253" s="11"/>
    </row>
    <row r="254" spans="1:12">
      <c r="K254" s="11"/>
    </row>
    <row r="255" spans="1:12">
      <c r="K255" s="11"/>
    </row>
    <row r="256" spans="1:12">
      <c r="K256" s="11"/>
    </row>
    <row r="257" spans="1:12">
      <c r="K257" s="11"/>
    </row>
    <row r="258" spans="1:12">
      <c r="K258" s="11"/>
    </row>
    <row r="259" spans="1:12">
      <c r="K259" s="11"/>
    </row>
    <row r="260" spans="1:12">
      <c r="K260" s="11"/>
    </row>
    <row r="261" spans="1:12">
      <c r="K261" s="11"/>
    </row>
    <row r="262" spans="1:12">
      <c r="K262" s="11"/>
    </row>
    <row r="263" spans="1:12">
      <c r="K263" s="11"/>
    </row>
    <row r="264" spans="1:12">
      <c r="K264" s="11"/>
    </row>
    <row r="265" spans="1:12">
      <c r="K265" s="11"/>
    </row>
    <row r="266" spans="1:12">
      <c r="K266" s="11"/>
    </row>
    <row r="267" spans="1:12">
      <c r="K267" s="11"/>
    </row>
    <row r="268" spans="1:12">
      <c r="K268" s="11"/>
    </row>
    <row r="269" spans="1:12">
      <c r="K269" s="11"/>
    </row>
    <row r="270" spans="1:12">
      <c r="K270" s="11"/>
    </row>
    <row r="271" spans="1:12">
      <c r="K271" s="11"/>
    </row>
    <row r="272" spans="1:12">
      <c r="K272" s="11"/>
    </row>
    <row r="273" spans="1:12">
      <c r="K273" s="11"/>
    </row>
    <row r="274" spans="1:12">
      <c r="K274" s="11"/>
    </row>
    <row r="275" spans="1:12">
      <c r="K275" s="11"/>
    </row>
    <row r="276" spans="1:12">
      <c r="K276" s="11"/>
    </row>
    <row r="277" spans="1:12">
      <c r="K277" s="11"/>
    </row>
    <row r="278" spans="1:12">
      <c r="K278" s="11"/>
    </row>
    <row r="279" spans="1:12">
      <c r="K279" s="11"/>
    </row>
    <row r="280" spans="1:12">
      <c r="K280" s="11"/>
    </row>
    <row r="281" spans="1:12">
      <c r="K281" s="11"/>
    </row>
    <row r="282" spans="1:12">
      <c r="K282" s="11"/>
    </row>
    <row r="283" spans="1:12">
      <c r="K283" s="11"/>
    </row>
    <row r="284" spans="1:12">
      <c r="K284" s="11"/>
    </row>
    <row r="285" spans="1:12">
      <c r="K285" s="11"/>
    </row>
    <row r="286" spans="1:12">
      <c r="K286" s="11"/>
    </row>
    <row r="287" spans="1:12">
      <c r="K287" s="11"/>
    </row>
    <row r="288" spans="1:12">
      <c r="K288" s="11"/>
    </row>
    <row r="289" spans="1:12">
      <c r="K289" s="11"/>
    </row>
    <row r="290" spans="1:12">
      <c r="K290" s="11"/>
    </row>
    <row r="291" spans="1:12">
      <c r="K291" s="11"/>
    </row>
    <row r="292" spans="1:12">
      <c r="K292" s="11"/>
    </row>
    <row r="293" spans="1:12">
      <c r="K293" s="11"/>
    </row>
    <row r="294" spans="1:12">
      <c r="K294" s="11"/>
    </row>
    <row r="295" spans="1:12">
      <c r="K295" s="11"/>
    </row>
    <row r="296" spans="1:12">
      <c r="K296" s="11"/>
    </row>
    <row r="297" spans="1:12">
      <c r="K297" s="11"/>
    </row>
    <row r="298" spans="1:12">
      <c r="K298" s="11"/>
    </row>
    <row r="299" spans="1:12">
      <c r="K299" s="11"/>
    </row>
    <row r="300" spans="1:12">
      <c r="K300" s="11"/>
    </row>
    <row r="301" spans="1:12">
      <c r="K301" s="11"/>
    </row>
    <row r="302" spans="1:12">
      <c r="K302" s="11"/>
    </row>
    <row r="303" spans="1:12">
      <c r="K303" s="11"/>
    </row>
    <row r="304" spans="1:12">
      <c r="K304" s="11"/>
    </row>
    <row r="305" spans="1:12">
      <c r="K305" s="11"/>
    </row>
    <row r="306" spans="1:12">
      <c r="K306" s="11"/>
    </row>
    <row r="307" spans="1:12">
      <c r="K307" s="11"/>
    </row>
    <row r="308" spans="1:12">
      <c r="K308" s="11"/>
    </row>
    <row r="309" spans="1:12">
      <c r="K309" s="11"/>
    </row>
    <row r="310" spans="1:12">
      <c r="K310" s="11"/>
    </row>
    <row r="311" spans="1:12">
      <c r="K311" s="11"/>
    </row>
    <row r="312" spans="1:12">
      <c r="K312" s="11"/>
    </row>
    <row r="313" spans="1:12">
      <c r="K313" s="11"/>
    </row>
    <row r="314" spans="1:12">
      <c r="K314" s="11"/>
    </row>
    <row r="315" spans="1:12">
      <c r="K315" s="11"/>
    </row>
    <row r="316" spans="1:12">
      <c r="K316" s="11"/>
    </row>
    <row r="317" spans="1:12">
      <c r="K317" s="11"/>
    </row>
    <row r="318" spans="1:12">
      <c r="K318" s="11"/>
    </row>
    <row r="319" spans="1:12">
      <c r="K319" s="11"/>
    </row>
    <row r="320" spans="1:12">
      <c r="K320" s="11"/>
    </row>
    <row r="321" spans="1:12">
      <c r="K321" s="11"/>
    </row>
    <row r="322" spans="1:12">
      <c r="K322" s="11"/>
    </row>
    <row r="323" spans="1:12">
      <c r="K323" s="11"/>
    </row>
    <row r="324" spans="1:12">
      <c r="K324" s="11"/>
    </row>
    <row r="325" spans="1:12">
      <c r="K325" s="11"/>
    </row>
    <row r="326" spans="1:12">
      <c r="K326" s="11"/>
    </row>
    <row r="327" spans="1:12">
      <c r="K327" s="11"/>
    </row>
  </sheetData>
  <autoFilter ref="A1:L127"/>
  <conditionalFormatting sqref="A2:L327">
    <cfRule type="expression" dxfId="1" priority="1">
      <formula>$J2="Hecho"</formula>
    </cfRule>
    <cfRule type="expression" dxfId="2" priority="2">
      <formula>$J2="Descartado"</formula>
    </cfRule>
    <cfRule type="expression" dxfId="3" priority="3">
      <formula>$J2="En curso"</formula>
    </cfRule>
  </conditionalFormatting>
  <conditionalFormatting sqref="E2:E327">
    <cfRule type="expression" dxfId="1" priority="4">
      <formula>$J2="Hecho"</formula>
    </cfRule>
    <cfRule type="expression" dxfId="2" priority="5">
      <formula>$J2="Descartado"</formula>
    </cfRule>
    <cfRule type="expression" dxfId="4" priority="6">
      <formula>LEFT($E2,1)="1"</formula>
    </cfRule>
    <cfRule type="expression" dxfId="5" priority="7">
      <formula>LEFT($E2,1)="2"</formula>
    </cfRule>
    <cfRule type="expression" dxfId="6" priority="8">
      <formula>LEFT($E2,1)="3"</formula>
    </cfRule>
  </conditionalFormatting>
  <dataValidations count="1">
    <dataValidation type="list" errorStyle="stop" operator="between" allowBlank="0" showDropDown="0" showInputMessage="0" showErrorMessage="1" errorTitle="Estado no válido" error="Elige: Pendiente, En curso, Hecho o Descartado" sqref="J2:J327">
      <formula1>"Pendiente,En curso,Hecho,Descartado"</formula1>
    </dataValidation>
  </dataValidations>
  <printOptions gridLines="false" gridLinesSet="true"/>
  <pageMargins left="0.7" right="0.7" top="0.75" bottom="0.75" header="0.3" footer="0.3"/>
  <pageSetup paperSize="1" orientation="landscape" scale="100" fitToHeight="0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</vt:lpstr>
      <vt:lpstr>Checklist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NeoEduCore</dc:creator>
  <cp:lastModifiedBy>Unknown Creator</cp:lastModifiedBy>
  <dcterms:created xsi:type="dcterms:W3CDTF">2026-09-11T05:53:04+02:00</dcterms:created>
  <dcterms:modified xsi:type="dcterms:W3CDTF">2026-09-11T05:53:04+02:00</dcterms:modified>
  <dc:title>NeoEduCore — Checklist de pendientes</dc:title>
  <dc:description>Generado desde docs/CHECKLIST_PENDIENTES.md el 10/09/2026</dc:description>
  <dc:subject/>
  <cp:keywords/>
  <cp:category/>
</cp:coreProperties>
</file>