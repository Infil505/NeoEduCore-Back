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" autoFilterDateGrouping="1"/>
  </bookViews>
  <sheets>
    <sheet name="Resumen" sheetId="1" state="visible" r:id="rId1"/>
    <sheet name="Checklist" sheetId="2" state="visible" r:id="rId2"/>
  </sheets>
  <definedNames>
    <definedName name="_xlnm._FilterDatabase" localSheetId="1" hidden="1">'Checklist'!$A$1:$L$127</definedName>
    <definedName name="_xlnm.Print_Titles" localSheetId="1">'Checklist'!$1:$1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  <strike val="0"/>
      <color rgb="FF555555"/>
      <sz val="11"/>
    </font>
    <font>
      <name val="Calibri"/>
      <b val="1"/>
      <strike val="0"/>
      <color rgb="FF000000"/>
      <sz val="11"/>
    </font>
    <font>
      <name val="Calibri"/>
      <b val="1"/>
      <strike val="0"/>
      <color rgb="FF000000"/>
      <sz val="16"/>
    </font>
    <font>
      <name val="Calibri"/>
      <i val="1"/>
      <strike val="0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1F3A5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hair">
        <color rgb="FFCCCCCC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 indent="2"/>
    </xf>
    <xf numFmtId="0" fontId="2" fillId="0" borderId="1" applyAlignment="1" pivotButton="0" quotePrefix="0" xfId="0">
      <alignment vertical="top" wrapText="1" indent="2"/>
    </xf>
    <xf numFmtId="164" fontId="0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0" borderId="2" pivotButton="0" quotePrefix="0" xfId="0"/>
    <xf numFmtId="9" fontId="0" fillId="0" borderId="0" pivotButton="0" quotePrefix="0" xfId="0"/>
    <xf numFmtId="9" fontId="3" fillId="0" borderId="2" pivotButton="0" quotePrefix="0" xfId="0"/>
  </cellXfs>
  <cellStyles count="1">
    <cellStyle name="Normal" xfId="0" builtinId="0"/>
  </cellStyles>
  <dxfs count="7">
    <dxf>
      <border/>
    </dxf>
    <dxf>
      <font>
        <color rgb="FF38761D"/>
      </font>
      <fill>
        <patternFill patternType="solid">
          <bgColor rgb="FFD9EAD3"/>
        </patternFill>
      </fill>
      <border/>
    </dxf>
    <dxf>
      <font>
        <strike val="1"/>
        <color rgb="FF888888"/>
      </font>
      <fill>
        <patternFill patternType="solid">
          <bgColor rgb="FFEEEEEE"/>
        </patternFill>
      </fill>
      <border/>
    </dxf>
    <dxf>
      <fill>
        <patternFill patternType="solid">
          <bgColor rgb="FFFFF2CC"/>
        </patternFill>
      </fill>
      <border/>
    </dxf>
    <dxf>
      <font>
        <color rgb="FF990000"/>
      </font>
      <fill>
        <patternFill patternType="solid">
          <bgColor rgb="FFF4CCCC"/>
        </patternFill>
      </fill>
      <border/>
    </dxf>
    <dxf>
      <font>
        <color rgb="FF7F4F00"/>
      </font>
      <fill>
        <patternFill patternType="solid">
          <bgColor rgb="FFFCE5CD"/>
        </patternFill>
      </fill>
      <border/>
    </dxf>
    <dxf>
      <font>
        <color rgb="FF7F6000"/>
      </font>
      <fill>
        <patternFill patternType="solid">
          <bgColor rgb="FFFFF2CC"/>
        </patternFill>
      </fill>
      <border/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showRowColHeaders="1" tabSelected="0" workbookViewId="0">
      <selection activeCell="H17" sqref="H17:H20"/>
    </sheetView>
  </sheetViews>
  <sheetFormatPr baseColWidth="8" defaultRowHeight="14.4" outlineLevelRow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NeoEduCore — Avance de pendientes</t>
        </is>
      </c>
    </row>
    <row r="2">
      <c r="A2" s="13" t="inlineStr">
        <is>
          <t>Cuenta solo las tareas principales (tipo «Tarea»); las subtareas se siguen en la hoja Checklist. «Cerradas» = Hecho + Descartado.</t>
        </is>
      </c>
    </row>
    <row r="4">
      <c r="A4" s="14" t="inlineStr">
        <is>
          <t>Sección</t>
        </is>
      </c>
      <c r="B4" s="14" t="inlineStr">
        <is>
          <t>Total</t>
        </is>
      </c>
      <c r="C4" s="14" t="inlineStr">
        <is>
          <t>Pendiente</t>
        </is>
      </c>
      <c r="D4" s="14" t="inlineStr">
        <is>
          <t>En curso</t>
        </is>
      </c>
      <c r="E4" s="14" t="inlineStr">
        <is>
          <t>Hecho</t>
        </is>
      </c>
      <c r="F4" s="14" t="inlineStr">
        <is>
          <t>Descartado</t>
        </is>
      </c>
      <c r="G4" s="14" t="inlineStr">
        <is>
          <t>Cerradas</t>
        </is>
      </c>
      <c r="H4" s="14" t="inlineStr">
        <is>
          <t>% avance</t>
        </is>
      </c>
    </row>
    <row r="5">
      <c r="A5" t="inlineStr">
        <is>
          <t>1. Decisiones que bloquean otras tareas</t>
        </is>
      </c>
      <c r="B5">
        <f>COUNTIFS(Checklist!$C$2:$C$327,$A5,Checklist!$B$2:$B$327,"Tarea")</f>
        <v/>
      </c>
      <c r="C5">
        <f>COUNTIFS(Checklist!$C$2:$C$327,$A5,Checklist!$B$2:$B$327,"Tarea",Checklist!$J$2:$J$327,"Pendiente")</f>
        <v/>
      </c>
      <c r="D5">
        <f>COUNTIFS(Checklist!$C$2:$C$327,$A5,Checklist!$B$2:$B$327,"Tarea",Checklist!$J$2:$J$327,"En curso")</f>
        <v/>
      </c>
      <c r="E5">
        <f>COUNTIFS(Checklist!$C$2:$C$327,$A5,Checklist!$B$2:$B$327,"Tarea",Checklist!$J$2:$J$327,"Hecho")</f>
        <v/>
      </c>
      <c r="F5">
        <f>COUNTIFS(Checklist!$C$2:$C$327,$A5,Checklist!$B$2:$B$327,"Tarea",Checklist!$J$2:$J$327,"Descartado")</f>
        <v/>
      </c>
      <c r="G5">
        <f>E5+F5</f>
        <v/>
      </c>
      <c r="H5" s="16">
        <f>IF(B5=0,0,G5/B5)</f>
        <v/>
      </c>
    </row>
    <row r="6">
      <c r="A6" t="inlineStr">
        <is>
          <t>2. Seguridad</t>
        </is>
      </c>
      <c r="B6">
        <f>COUNTIFS(Checklist!$C$2:$C$327,$A6,Checklist!$B$2:$B$327,"Tarea")</f>
        <v/>
      </c>
      <c r="C6">
        <f>COUNTIFS(Checklist!$C$2:$C$327,$A6,Checklist!$B$2:$B$327,"Tarea",Checklist!$J$2:$J$327,"Pendiente")</f>
        <v/>
      </c>
      <c r="D6">
        <f>COUNTIFS(Checklist!$C$2:$C$327,$A6,Checklist!$B$2:$B$327,"Tarea",Checklist!$J$2:$J$327,"En curso")</f>
        <v/>
      </c>
      <c r="E6">
        <f>COUNTIFS(Checklist!$C$2:$C$327,$A6,Checklist!$B$2:$B$327,"Tarea",Checklist!$J$2:$J$327,"Hecho")</f>
        <v/>
      </c>
      <c r="F6">
        <f>COUNTIFS(Checklist!$C$2:$C$327,$A6,Checklist!$B$2:$B$327,"Tarea",Checklist!$J$2:$J$327,"Descartado")</f>
        <v/>
      </c>
      <c r="G6">
        <f>E6+F6</f>
        <v/>
      </c>
      <c r="H6" s="16">
        <f>IF(B6=0,0,G6/B6)</f>
        <v/>
      </c>
    </row>
    <row r="7">
      <c r="A7" t="inlineStr">
        <is>
          <t>3. Producción y despliegue</t>
        </is>
      </c>
      <c r="B7">
        <f>COUNTIFS(Checklist!$C$2:$C$327,$A7,Checklist!$B$2:$B$327,"Tarea")</f>
        <v/>
      </c>
      <c r="C7">
        <f>COUNTIFS(Checklist!$C$2:$C$327,$A7,Checklist!$B$2:$B$327,"Tarea",Checklist!$J$2:$J$327,"Pendiente")</f>
        <v/>
      </c>
      <c r="D7">
        <f>COUNTIFS(Checklist!$C$2:$C$327,$A7,Checklist!$B$2:$B$327,"Tarea",Checklist!$J$2:$J$327,"En curso")</f>
        <v/>
      </c>
      <c r="E7">
        <f>COUNTIFS(Checklist!$C$2:$C$327,$A7,Checklist!$B$2:$B$327,"Tarea",Checklist!$J$2:$J$327,"Hecho")</f>
        <v/>
      </c>
      <c r="F7">
        <f>COUNTIFS(Checklist!$C$2:$C$327,$A7,Checklist!$B$2:$B$327,"Tarea",Checklist!$J$2:$J$327,"Descartado")</f>
        <v/>
      </c>
      <c r="G7">
        <f>E7+F7</f>
        <v/>
      </c>
      <c r="H7" s="16">
        <f>IF(B7=0,0,G7/B7)</f>
        <v/>
      </c>
    </row>
    <row r="8">
      <c r="A8" t="inlineStr">
        <is>
          <t>4. Mediciones</t>
        </is>
      </c>
      <c r="B8">
        <f>COUNTIFS(Checklist!$C$2:$C$327,$A8,Checklist!$B$2:$B$327,"Tarea")</f>
        <v/>
      </c>
      <c r="C8">
        <f>COUNTIFS(Checklist!$C$2:$C$327,$A8,Checklist!$B$2:$B$327,"Tarea",Checklist!$J$2:$J$327,"Pendiente")</f>
        <v/>
      </c>
      <c r="D8">
        <f>COUNTIFS(Checklist!$C$2:$C$327,$A8,Checklist!$B$2:$B$327,"Tarea",Checklist!$J$2:$J$327,"En curso")</f>
        <v/>
      </c>
      <c r="E8">
        <f>COUNTIFS(Checklist!$C$2:$C$327,$A8,Checklist!$B$2:$B$327,"Tarea",Checklist!$J$2:$J$327,"Hecho")</f>
        <v/>
      </c>
      <c r="F8">
        <f>COUNTIFS(Checklist!$C$2:$C$327,$A8,Checklist!$B$2:$B$327,"Tarea",Checklist!$J$2:$J$327,"Descartado")</f>
        <v/>
      </c>
      <c r="G8">
        <f>E8+F8</f>
        <v/>
      </c>
      <c r="H8" s="16">
        <f>IF(B8=0,0,G8/B8)</f>
        <v/>
      </c>
    </row>
    <row r="9">
      <c r="A9" t="inlineStr">
        <is>
          <t>5. Frontend</t>
        </is>
      </c>
      <c r="B9">
        <f>COUNTIFS(Checklist!$C$2:$C$327,$A9,Checklist!$B$2:$B$327,"Tarea")</f>
        <v/>
      </c>
      <c r="C9">
        <f>COUNTIFS(Checklist!$C$2:$C$327,$A9,Checklist!$B$2:$B$327,"Tarea",Checklist!$J$2:$J$327,"Pendiente")</f>
        <v/>
      </c>
      <c r="D9">
        <f>COUNTIFS(Checklist!$C$2:$C$327,$A9,Checklist!$B$2:$B$327,"Tarea",Checklist!$J$2:$J$327,"En curso")</f>
        <v/>
      </c>
      <c r="E9">
        <f>COUNTIFS(Checklist!$C$2:$C$327,$A9,Checklist!$B$2:$B$327,"Tarea",Checklist!$J$2:$J$327,"Hecho")</f>
        <v/>
      </c>
      <c r="F9">
        <f>COUNTIFS(Checklist!$C$2:$C$327,$A9,Checklist!$B$2:$B$327,"Tarea",Checklist!$J$2:$J$327,"Descartado")</f>
        <v/>
      </c>
      <c r="G9">
        <f>E9+F9</f>
        <v/>
      </c>
      <c r="H9" s="16">
        <f>IF(B9=0,0,G9/B9)</f>
        <v/>
      </c>
    </row>
    <row r="10">
      <c r="A10" t="inlineStr">
        <is>
          <t>6. Informe del TFG</t>
        </is>
      </c>
      <c r="B10">
        <f>COUNTIFS(Checklist!$C$2:$C$327,$A10,Checklist!$B$2:$B$327,"Tarea")</f>
        <v/>
      </c>
      <c r="C10">
        <f>COUNTIFS(Checklist!$C$2:$C$327,$A10,Checklist!$B$2:$B$327,"Tarea",Checklist!$J$2:$J$327,"Pendiente")</f>
        <v/>
      </c>
      <c r="D10">
        <f>COUNTIFS(Checklist!$C$2:$C$327,$A10,Checklist!$B$2:$B$327,"Tarea",Checklist!$J$2:$J$327,"En curso")</f>
        <v/>
      </c>
      <c r="E10">
        <f>COUNTIFS(Checklist!$C$2:$C$327,$A10,Checklist!$B$2:$B$327,"Tarea",Checklist!$J$2:$J$327,"Hecho")</f>
        <v/>
      </c>
      <c r="F10">
        <f>COUNTIFS(Checklist!$C$2:$C$327,$A10,Checklist!$B$2:$B$327,"Tarea",Checklist!$J$2:$J$327,"Descartado")</f>
        <v/>
      </c>
      <c r="G10">
        <f>E10+F10</f>
        <v/>
      </c>
      <c r="H10" s="16">
        <f>IF(B10=0,0,G10/B10)</f>
        <v/>
      </c>
    </row>
    <row r="11">
      <c r="A11" t="inlineStr">
        <is>
          <t>7. Entregables no-código</t>
        </is>
      </c>
      <c r="B11">
        <f>COUNTIFS(Checklist!$C$2:$C$327,$A11,Checklist!$B$2:$B$327,"Tarea")</f>
        <v/>
      </c>
      <c r="C11">
        <f>COUNTIFS(Checklist!$C$2:$C$327,$A11,Checklist!$B$2:$B$327,"Tarea",Checklist!$J$2:$J$327,"Pendiente")</f>
        <v/>
      </c>
      <c r="D11">
        <f>COUNTIFS(Checklist!$C$2:$C$327,$A11,Checklist!$B$2:$B$327,"Tarea",Checklist!$J$2:$J$327,"En curso")</f>
        <v/>
      </c>
      <c r="E11">
        <f>COUNTIFS(Checklist!$C$2:$C$327,$A11,Checklist!$B$2:$B$327,"Tarea",Checklist!$J$2:$J$327,"Hecho")</f>
        <v/>
      </c>
      <c r="F11">
        <f>COUNTIFS(Checklist!$C$2:$C$327,$A11,Checklist!$B$2:$B$327,"Tarea",Checklist!$J$2:$J$327,"Descartado")</f>
        <v/>
      </c>
      <c r="G11">
        <f>E11+F11</f>
        <v/>
      </c>
      <c r="H11" s="16">
        <f>IF(B11=0,0,G11/B11)</f>
        <v/>
      </c>
    </row>
    <row r="12">
      <c r="A12" t="inlineStr">
        <is>
          <t>8. Mejoras opcionales</t>
        </is>
      </c>
      <c r="B12">
        <f>COUNTIFS(Checklist!$C$2:$C$327,$A12,Checklist!$B$2:$B$327,"Tarea")</f>
        <v/>
      </c>
      <c r="C12">
        <f>COUNTIFS(Checklist!$C$2:$C$327,$A12,Checklist!$B$2:$B$327,"Tarea",Checklist!$J$2:$J$327,"Pendiente")</f>
        <v/>
      </c>
      <c r="D12">
        <f>COUNTIFS(Checklist!$C$2:$C$327,$A12,Checklist!$B$2:$B$327,"Tarea",Checklist!$J$2:$J$327,"En curso")</f>
        <v/>
      </c>
      <c r="E12">
        <f>COUNTIFS(Checklist!$C$2:$C$327,$A12,Checklist!$B$2:$B$327,"Tarea",Checklist!$J$2:$J$327,"Hecho")</f>
        <v/>
      </c>
      <c r="F12">
        <f>COUNTIFS(Checklist!$C$2:$C$327,$A12,Checklist!$B$2:$B$327,"Tarea",Checklist!$J$2:$J$327,"Descartado")</f>
        <v/>
      </c>
      <c r="G12">
        <f>E12+F12</f>
        <v/>
      </c>
      <c r="H12" s="16">
        <f>IF(B12=0,0,G12/B12)</f>
        <v/>
      </c>
    </row>
    <row r="13">
      <c r="A13" t="inlineStr">
        <is>
          <t>9. Funcionalidad nueva del backend</t>
        </is>
      </c>
      <c r="B13">
        <f>COUNTIFS(Checklist!$C$2:$C$327,$A13,Checklist!$B$2:$B$327,"Tarea")</f>
        <v/>
      </c>
      <c r="C13">
        <f>COUNTIFS(Checklist!$C$2:$C$327,$A13,Checklist!$B$2:$B$327,"Tarea",Checklist!$J$2:$J$327,"Pendiente")</f>
        <v/>
      </c>
      <c r="D13">
        <f>COUNTIFS(Checklist!$C$2:$C$327,$A13,Checklist!$B$2:$B$327,"Tarea",Checklist!$J$2:$J$327,"En curso")</f>
        <v/>
      </c>
      <c r="E13">
        <f>COUNTIFS(Checklist!$C$2:$C$327,$A13,Checklist!$B$2:$B$327,"Tarea",Checklist!$J$2:$J$327,"Hecho")</f>
        <v/>
      </c>
      <c r="F13">
        <f>COUNTIFS(Checklist!$C$2:$C$327,$A13,Checklist!$B$2:$B$327,"Tarea",Checklist!$J$2:$J$327,"Descartado")</f>
        <v/>
      </c>
      <c r="G13">
        <f>E13+F13</f>
        <v/>
      </c>
      <c r="H13" s="16">
        <f>IF(B13=0,0,G13/B13)</f>
        <v/>
      </c>
    </row>
    <row r="14">
      <c r="A14" s="15" t="inlineStr">
        <is>
          <t>Total</t>
        </is>
      </c>
      <c r="B14" s="15">
        <f>SUM(B5:B13)</f>
        <v/>
      </c>
      <c r="C14" s="15">
        <f>SUM(C5:C13)</f>
        <v/>
      </c>
      <c r="D14" s="15">
        <f>SUM(D5:D13)</f>
        <v/>
      </c>
      <c r="E14" s="15">
        <f>SUM(E5:E13)</f>
        <v/>
      </c>
      <c r="F14" s="15">
        <f>SUM(F5:F13)</f>
        <v/>
      </c>
      <c r="G14" s="15">
        <f>SUM(G5:G13)</f>
        <v/>
      </c>
      <c r="H14" s="17">
        <f>IF(B14=0,0,G14/B14)</f>
        <v/>
      </c>
    </row>
    <row r="16">
      <c r="A16" s="14" t="inlineStr">
        <is>
          <t>Prioridad</t>
        </is>
      </c>
      <c r="B16" s="14" t="inlineStr">
        <is>
          <t>Total</t>
        </is>
      </c>
      <c r="C16" s="14" t="inlineStr">
        <is>
          <t>Pendiente</t>
        </is>
      </c>
      <c r="D16" s="14" t="inlineStr">
        <is>
          <t>En curso</t>
        </is>
      </c>
      <c r="E16" s="14" t="inlineStr">
        <is>
          <t>Hecho</t>
        </is>
      </c>
      <c r="F16" s="14" t="inlineStr">
        <is>
          <t>Descartado</t>
        </is>
      </c>
      <c r="G16" s="14" t="inlineStr">
        <is>
          <t>Cerradas</t>
        </is>
      </c>
      <c r="H16" s="14" t="inlineStr">
        <is>
          <t>% avance</t>
        </is>
      </c>
    </row>
    <row r="17">
      <c r="A17" t="inlineStr">
        <is>
          <t>1 · Alta</t>
        </is>
      </c>
      <c r="B17">
        <f>COUNTIFS(Checklist!$E$2:$E$327,$A17,Checklist!$B$2:$B$327,"Tarea")</f>
        <v/>
      </c>
      <c r="C17">
        <f>COUNTIFS(Checklist!$E$2:$E$327,$A17,Checklist!$B$2:$B$327,"Tarea",Checklist!$J$2:$J$327,"Pendiente")</f>
        <v/>
      </c>
      <c r="D17">
        <f>COUNTIFS(Checklist!$E$2:$E$327,$A17,Checklist!$B$2:$B$327,"Tarea",Checklist!$J$2:$J$327,"En curso")</f>
        <v/>
      </c>
      <c r="E17">
        <f>COUNTIFS(Checklist!$E$2:$E$327,$A17,Checklist!$B$2:$B$327,"Tarea",Checklist!$J$2:$J$327,"Hecho")</f>
        <v/>
      </c>
      <c r="F17">
        <f>COUNTIFS(Checklist!$E$2:$E$327,$A17,Checklist!$B$2:$B$327,"Tarea",Checklist!$J$2:$J$327,"Descartado")</f>
        <v/>
      </c>
      <c r="G17">
        <f>E17+F17</f>
        <v/>
      </c>
      <c r="H17" s="16">
        <f>IF(B17=0,0,G17/B17)</f>
        <v/>
      </c>
    </row>
    <row r="18">
      <c r="A18" t="inlineStr">
        <is>
          <t>2 · Media</t>
        </is>
      </c>
      <c r="B18">
        <f>COUNTIFS(Checklist!$E$2:$E$327,$A18,Checklist!$B$2:$B$327,"Tarea")</f>
        <v/>
      </c>
      <c r="C18">
        <f>COUNTIFS(Checklist!$E$2:$E$327,$A18,Checklist!$B$2:$B$327,"Tarea",Checklist!$J$2:$J$327,"Pendiente")</f>
        <v/>
      </c>
      <c r="D18">
        <f>COUNTIFS(Checklist!$E$2:$E$327,$A18,Checklist!$B$2:$B$327,"Tarea",Checklist!$J$2:$J$327,"En curso")</f>
        <v/>
      </c>
      <c r="E18">
        <f>COUNTIFS(Checklist!$E$2:$E$327,$A18,Checklist!$B$2:$B$327,"Tarea",Checklist!$J$2:$J$327,"Hecho")</f>
        <v/>
      </c>
      <c r="F18">
        <f>COUNTIFS(Checklist!$E$2:$E$327,$A18,Checklist!$B$2:$B$327,"Tarea",Checklist!$J$2:$J$327,"Descartado")</f>
        <v/>
      </c>
      <c r="G18">
        <f>E18+F18</f>
        <v/>
      </c>
      <c r="H18" s="16">
        <f>IF(B18=0,0,G18/B18)</f>
        <v/>
      </c>
    </row>
    <row r="19">
      <c r="A19" t="inlineStr">
        <is>
          <t>3 · Media-baja</t>
        </is>
      </c>
      <c r="B19">
        <f>COUNTIFS(Checklist!$E$2:$E$327,$A19,Checklist!$B$2:$B$327,"Tarea")</f>
        <v/>
      </c>
      <c r="C19">
        <f>COUNTIFS(Checklist!$E$2:$E$327,$A19,Checklist!$B$2:$B$327,"Tarea",Checklist!$J$2:$J$327,"Pendiente")</f>
        <v/>
      </c>
      <c r="D19">
        <f>COUNTIFS(Checklist!$E$2:$E$327,$A19,Checklist!$B$2:$B$327,"Tarea",Checklist!$J$2:$J$327,"En curso")</f>
        <v/>
      </c>
      <c r="E19">
        <f>COUNTIFS(Checklist!$E$2:$E$327,$A19,Checklist!$B$2:$B$327,"Tarea",Checklist!$J$2:$J$327,"Hecho")</f>
        <v/>
      </c>
      <c r="F19">
        <f>COUNTIFS(Checklist!$E$2:$E$327,$A19,Checklist!$B$2:$B$327,"Tarea",Checklist!$J$2:$J$327,"Descartado")</f>
        <v/>
      </c>
      <c r="G19">
        <f>E19+F19</f>
        <v/>
      </c>
      <c r="H19" s="16">
        <f>IF(B19=0,0,G19/B19)</f>
        <v/>
      </c>
    </row>
    <row r="20">
      <c r="A20" t="inlineStr">
        <is>
          <t>4 · Normal</t>
        </is>
      </c>
      <c r="B20">
        <f>COUNTIFS(Checklist!$E$2:$E$327,$A20,Checklist!$B$2:$B$327,"Tarea")</f>
        <v/>
      </c>
      <c r="C20">
        <f>COUNTIFS(Checklist!$E$2:$E$327,$A20,Checklist!$B$2:$B$327,"Tarea",Checklist!$J$2:$J$327,"Pendiente")</f>
        <v/>
      </c>
      <c r="D20">
        <f>COUNTIFS(Checklist!$E$2:$E$327,$A20,Checklist!$B$2:$B$327,"Tarea",Checklist!$J$2:$J$327,"En curso")</f>
        <v/>
      </c>
      <c r="E20">
        <f>COUNTIFS(Checklist!$E$2:$E$327,$A20,Checklist!$B$2:$B$327,"Tarea",Checklist!$J$2:$J$327,"Hecho")</f>
        <v/>
      </c>
      <c r="F20">
        <f>COUNTIFS(Checklist!$E$2:$E$327,$A20,Checklist!$B$2:$B$327,"Tarea",Checklist!$J$2:$J$327,"Descartado")</f>
        <v/>
      </c>
      <c r="G20">
        <f>E20+F20</f>
        <v/>
      </c>
      <c r="H20" s="16">
        <f>IF(B20=0,0,G20/B20)</f>
        <v/>
      </c>
    </row>
    <row r="21">
      <c r="A21" s="15" t="inlineStr">
        <is>
          <t>Total</t>
        </is>
      </c>
      <c r="B21" s="15">
        <f>SUM(B17:B20)</f>
        <v/>
      </c>
      <c r="C21" s="15">
        <f>SUM(C17:C20)</f>
        <v/>
      </c>
      <c r="D21" s="15">
        <f>SUM(D17:D20)</f>
        <v/>
      </c>
      <c r="E21" s="15">
        <f>SUM(E17:E20)</f>
        <v/>
      </c>
      <c r="F21" s="15">
        <f>SUM(F17:F20)</f>
        <v/>
      </c>
      <c r="G21" s="15">
        <f>SUM(G17:G20)</f>
        <v/>
      </c>
      <c r="H21" s="17">
        <f>IF(B21=0,0,G21/B21)</f>
        <v/>
      </c>
    </row>
  </sheetData>
  <conditionalFormatting sqref="H5:H13">
    <cfRule type="dataBar" priority="1">
      <dataBar>
        <cfvo type="num" val="0"/>
        <cfvo type="num" val="1"/>
        <color rgb="FF6AA84F"/>
      </dataBar>
      <formula>None</formula>
    </cfRule>
  </conditionalFormatting>
  <conditionalFormatting sqref="H17:H20">
    <cfRule type="dataBar" priority="2">
      <dataBar>
        <cfvo type="num" val="0"/>
        <cfvo type="num" val="1"/>
        <color rgb="FF6AA84F"/>
      </dataBar>
      <formula>None</formula>
    </cfRule>
  </conditionalFormatting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L327"/>
  <sheetViews>
    <sheetView showGridLines="1" showRowColHeaders="1" tabSelected="1" workbookViewId="0">
      <pane xSplit="6" ySplit="1" topLeftCell="G2" activePane="bottomRight" state="frozen"/>
      <selection pane="bottomRight" activeCell="K136" sqref="K136"/>
    </sheetView>
  </sheetViews>
  <sheetFormatPr baseColWidth="8" defaultRowHeight="14.4" outlineLevelRow="0"/>
  <cols>
    <col width="9" customWidth="1" min="1" max="1"/>
    <col width="10" customWidth="1" min="2" max="2"/>
    <col width="30" customWidth="1" min="3" max="3"/>
    <col width="26" customWidth="1" min="4" max="4"/>
    <col width="14" customWidth="1" min="5" max="5"/>
    <col width="55" customWidth="1" min="6" max="6"/>
    <col width="70" customWidth="1" min="7" max="7"/>
    <col width="13" customWidth="1" min="8" max="8"/>
    <col width="34" customWidth="1" min="9" max="9"/>
    <col width="12" customWidth="1" min="10" max="10"/>
    <col width="13" customWidth="1" min="11" max="11"/>
    <col width="40" customWidth="1" min="12" max="12"/>
  </cols>
  <sheetData>
    <row r="1" ht="22" customHeight="1">
      <c r="A1" s="1" t="inlineStr">
        <is>
          <t>Código</t>
        </is>
      </c>
      <c r="B1" s="1" t="inlineStr">
        <is>
          <t>Tipo</t>
        </is>
      </c>
      <c r="C1" s="1" t="inlineStr">
        <is>
          <t>Sección</t>
        </is>
      </c>
      <c r="D1" s="1" t="inlineStr">
        <is>
          <t>Subsección</t>
        </is>
      </c>
      <c r="E1" s="1" t="inlineStr">
        <is>
          <t>Prioridad</t>
        </is>
      </c>
      <c r="F1" s="1" t="inlineStr">
        <is>
          <t>Tarea</t>
        </is>
      </c>
      <c r="G1" s="1" t="inlineStr">
        <is>
          <t>Detalle</t>
        </is>
      </c>
      <c r="H1" s="1" t="inlineStr">
        <is>
          <t>Depende de</t>
        </is>
      </c>
      <c r="I1" s="1" t="inlineStr">
        <is>
          <t>Fuente</t>
        </is>
      </c>
      <c r="J1" s="1" t="inlineStr">
        <is>
          <t>Estado</t>
        </is>
      </c>
      <c r="K1" s="1" t="inlineStr">
        <is>
          <t>Fecha cierre</t>
        </is>
      </c>
      <c r="L1" s="1" t="inlineStr">
        <is>
          <t>Notas</t>
        </is>
      </c>
    </row>
    <row r="2">
      <c r="A2" s="2" t="inlineStr">
        <is>
          <t>D1</t>
        </is>
      </c>
      <c r="B2" s="2" t="inlineStr">
        <is>
          <t>Tarea</t>
        </is>
      </c>
      <c r="C2" s="2" t="inlineStr">
        <is>
          <t>1. Decisiones que bloquean otras tareas</t>
        </is>
      </c>
      <c r="D2" s="2" t="n"/>
      <c r="E2" s="2" t="inlineStr">
        <is>
          <t>1 · Alta</t>
        </is>
      </c>
      <c r="F2" s="5" t="inlineStr">
        <is>
          <t>Recomendaciones post-examen: IA diferida a la cola</t>
        </is>
      </c>
      <c r="G2" s="2" t="inlineStr">
        <is>
          <t>• Hoy el submit las genera con un if/elseif/else sobre el porcentaje, sin OpenAI; la IA solo entra al pulsar regenerar.
• (a) Diferir la generación IA a la cola → código: job, estado «en preparación», aviso al frontend.
• (b) Reescribir [122], [222], [255] y [736] para describir heurística inmediata + IA bajo demanda → cero código.
• Bloquea: capítulo del tutor (I-3).</t>
        </is>
      </c>
      <c r="H2" s="2" t="n"/>
      <c r="I2" s="2" t="inlineStr">
        <is>
          <t>ESTADO_Y_PENDIENTES.md §3.6 nº 1</t>
        </is>
      </c>
      <c r="J2" s="2" t="inlineStr">
        <is>
          <t>Hecho</t>
        </is>
      </c>
      <c r="K2" s="8" t="n">
        <v>46278</v>
      </c>
      <c r="L2" s="2" t="inlineStr">
        <is>
          <t>Elegida (a). Disparador: la consulta de resultados, no la entrega. Job GenerateAiRecommendations + attempt_id/generated_by/ai_recommendations_status. Migracion 2026_09_13_000001 aplicada. Depende de P1 (worker) y P2 (QUEUE_CONNECTION).</t>
        </is>
      </c>
    </row>
    <row r="3">
      <c r="A3" s="2" t="inlineStr">
        <is>
          <t>D2</t>
        </is>
      </c>
      <c r="B3" s="2" t="inlineStr">
        <is>
          <t>Tarea</t>
        </is>
      </c>
      <c r="C3" s="2" t="inlineStr">
        <is>
          <t>1. Decisiones que bloquean otras tareas</t>
        </is>
      </c>
      <c r="D3" s="2" t="n"/>
      <c r="E3" s="2" t="inlineStr">
        <is>
          <t>1 · Alta</t>
        </is>
      </c>
      <c r="F3" s="5" t="inlineStr">
        <is>
          <t>Metadatos curriculares de questions y subject_id en study_resources</t>
        </is>
      </c>
      <c r="G3" s="2" t="inlineStr">
        <is>
          <t>• Añadir las columnas o recortar la promesa en [171], [222], [263] y [276].
• Bloquea: banco de 60 ítems (E2), diagnóstico por tema, «temas más recomendados» para el docente, recursos por materia.</t>
        </is>
      </c>
      <c r="H3" s="2" t="n"/>
      <c r="I3" s="2" t="inlineStr">
        <is>
          <t>ESTADO_Y_PENDIENTES.md §3.6 nº 7</t>
        </is>
      </c>
      <c r="J3" s="2" t="inlineStr">
        <is>
          <t>Hecho</t>
        </is>
      </c>
      <c r="K3" s="8" t="n">
        <v>46278</v>
      </c>
      <c r="L3" s="2" t="inlineStr">
        <is>
          <t>Se anadieron las columnas, alcance completo. topic_normalized es columna generada por PostgreSQL. Tema como texto libre normalizado, no catalogo. Migracion 2026_09_13_000002 aplicada. Desbloquea E2 y cierra K2, K3 y K4.</t>
        </is>
      </c>
    </row>
    <row r="4">
      <c r="A4" s="2" t="inlineStr">
        <is>
          <t>D3</t>
        </is>
      </c>
      <c r="B4" s="2" t="inlineStr">
        <is>
          <t>Tarea</t>
        </is>
      </c>
      <c r="C4" s="2" t="inlineStr">
        <is>
          <t>1. Decisiones que bloquean otras tareas</t>
        </is>
      </c>
      <c r="D4" s="2" t="n"/>
      <c r="E4" s="2" t="inlineStr">
        <is>
          <t>1 · Alta</t>
        </is>
      </c>
      <c r="F4" s="5" t="inlineStr">
        <is>
          <t>Expiracion de sesion: inactividad de 60 min</t>
        </is>
      </c>
      <c r="G4" s="2" t="inlineStr">
        <is>
          <t>• config/sanctum.php:50 → SANCTUM_TOKEN_EXPIRATION_MINUTES, 720 por defecto.
• Recomendado: bajar la variable (cuentas de menores en equipos compartidos) en vez de relajar el requisito.
• Si se baja: ajustar .env.example y fijarlo en Coolify (P2).</t>
        </is>
      </c>
      <c r="H4" s="2" t="n"/>
      <c r="I4" s="2" t="inlineStr">
        <is>
          <t>ESTADO_Y_PENDIENTES.md §9.3 · ANALISIS_MODELO_DATOS_TFG.md §10.2 nº 9</t>
        </is>
      </c>
      <c r="J4" s="2" t="inlineStr">
        <is>
          <t>Hecho</t>
        </is>
      </c>
      <c r="K4" s="8" t="n">
        <v>46278</v>
      </c>
      <c r="L4" s="2" t="inlineStr">
        <is>
          <t>Inactividad real de 60 min sobre last_used_at (SANCTUM_TOKEN_INACTIVITY_MINUTES), no expiracion absoluta. Bajar EXPIRATION a 60 habria expulsado al alumno a mitad de un examen de hasta 300 min. Via Sanctum::authenticateAccessTokensUsing(), no middleware. Cierra K9 e I-11.</t>
        </is>
      </c>
    </row>
    <row r="5">
      <c r="A5" s="2" t="inlineStr">
        <is>
          <t>D4</t>
        </is>
      </c>
      <c r="B5" s="2" t="inlineStr">
        <is>
          <t>Tarea</t>
        </is>
      </c>
      <c r="C5" s="2" t="inlineStr">
        <is>
          <t>1. Decisiones que bloquean otras tareas</t>
        </is>
      </c>
      <c r="D5" s="2" t="n"/>
      <c r="E5" s="2" t="inlineStr">
        <is>
          <t>3 · Media-baja</t>
        </is>
      </c>
      <c r="F5" s="5" t="inlineStr">
        <is>
          <t>Aviso de «esta respuesta la genera una IA» ([397])</t>
        </is>
      </c>
      <c r="G5" s="2" t="inlineStr">
        <is>
          <t>• Campo en la respuesta de POST /ai/tutor/chat (hoy {session_id, reply, message_count}) o el informe lo atribuye a la interfaz.</t>
        </is>
      </c>
      <c r="H5" s="2" t="n"/>
      <c r="I5" s="2" t="inlineStr">
        <is>
          <t>ESTADO_Y_PENDIENTES.md §3.6 nº 8</t>
        </is>
      </c>
      <c r="J5" s="2" t="inlineStr">
        <is>
          <t>Hecho</t>
        </is>
      </c>
      <c r="K5" s="8" t="n">
        <v>46278</v>
      </c>
      <c r="L5" s="2" t="inlineStr">
        <is>
          <t>Campo ai_notice en la respuesta del chat y del diagnostico. Texto en openai.tutor.notice (OPENAI_TUTOR_NOTICE). Se eligio el sistema y no el frontend: el compromiso de [397] es del sistema. Cierra K5.</t>
        </is>
      </c>
    </row>
    <row r="6">
      <c r="A6" s="2" t="inlineStr">
        <is>
          <t>D5</t>
        </is>
      </c>
      <c r="B6" s="2" t="inlineStr">
        <is>
          <t>Tarea</t>
        </is>
      </c>
      <c r="C6" s="2" t="inlineStr">
        <is>
          <t>1. Decisiones que bloquean otras tareas</t>
        </is>
      </c>
      <c r="D6" s="2" t="n"/>
      <c r="E6" s="2" t="inlineStr">
        <is>
          <t>3 · Media-baja</t>
        </is>
      </c>
      <c r="F6" s="5" t="inlineStr">
        <is>
          <t>Registro de incidencias del tutor IA</t>
        </is>
      </c>
      <c r="G6" s="2" t="inlineStr">
        <is>
          <t>• Hoy los bloqueos por PII o enlace no permitido solo dejan Log::warning.
• Crear tabla/contador o retirar del informe el criterio «&gt;75 % de mensajes que superen validación».</t>
        </is>
      </c>
      <c r="H6" s="2" t="n"/>
      <c r="I6" s="2" t="inlineStr">
        <is>
          <t>ESTADO_Y_PENDIENTES.md §9.3 · §3.6 nº 6</t>
        </is>
      </c>
      <c r="J6" s="2" t="inlineStr">
        <is>
          <t>Hecho</t>
        </is>
      </c>
      <c r="K6" s="8" t="n">
        <v>46278</v>
      </c>
      <c r="L6" s="2" t="inlineStr">
        <is>
          <t>Tabla ai_tutor_incidents (migracion 2026_09_13_000003, aplicada) + GET /platform/ai-tutor-metrics solo superadmin, solo agregados. NO guarda el texto que provoco la incidencia. Cierra K6.</t>
        </is>
      </c>
    </row>
    <row r="7">
      <c r="A7" s="2" t="inlineStr">
        <is>
          <t>D6</t>
        </is>
      </c>
      <c r="B7" s="2" t="inlineStr">
        <is>
          <t>Tarea</t>
        </is>
      </c>
      <c r="C7" s="2" t="inlineStr">
        <is>
          <t>1. Decisiones que bloquean otras tareas</t>
        </is>
      </c>
      <c r="D7" s="2" t="n"/>
      <c r="E7" s="2" t="inlineStr">
        <is>
          <t>4 · Normal</t>
        </is>
      </c>
      <c r="F7" s="5" t="inlineStr">
        <is>
          <t>PATCH /users/{id}/reset-password no activa la cuenta</t>
        </is>
      </c>
      <c r="G7" s="2" t="inlineStr">
        <is>
          <t>• Coherente con «la activa su dueño», pero confunde a soporte. ¿Se deja, se activa o se documenta?</t>
        </is>
      </c>
      <c r="H7" s="2" t="n"/>
      <c r="I7" s="2" t="inlineStr">
        <is>
          <t>ESTADO_Y_PENDIENTES.md §8</t>
        </is>
      </c>
      <c r="J7" s="2" t="inlineStr">
        <is>
          <t>Hecho</t>
        </is>
      </c>
      <c r="K7" s="8" t="n">
        <v>46278</v>
      </c>
      <c r="L7" s="2" t="inlineStr">
        <is>
          <t>Se queda sin activar (la regla no se toca) pero la respuesta devuelve status, can_sign_in y activation_needed, y el mensaje dice que hay que enviar el enlace de activacion.</t>
        </is>
      </c>
    </row>
    <row r="8">
      <c r="A8" s="2" t="inlineStr">
        <is>
          <t>D7</t>
        </is>
      </c>
      <c r="B8" s="2" t="inlineStr">
        <is>
          <t>Tarea</t>
        </is>
      </c>
      <c r="C8" s="2" t="inlineStr">
        <is>
          <t>1. Decisiones que bloquean otras tareas</t>
        </is>
      </c>
      <c r="D8" s="2" t="n"/>
      <c r="E8" s="2" t="inlineStr">
        <is>
          <t>4 · Normal</t>
        </is>
      </c>
      <c r="F8" s="5" t="inlineStr">
        <is>
          <t>available-exams muestra max_attempts al alumno</t>
        </is>
      </c>
      <c r="G8" s="2" t="inlineStr">
        <is>
          <t>• Se dejó para poder mostrar «intento 2 de 3». Confirmar.</t>
        </is>
      </c>
      <c r="H8" s="2" t="n"/>
      <c r="I8" s="2" t="n"/>
      <c r="J8" s="2" t="inlineStr">
        <is>
          <t>Hecho</t>
        </is>
      </c>
      <c r="K8" s="8" t="n">
        <v>46278</v>
      </c>
      <c r="L8" s="2" t="inlineStr">
        <is>
          <t>Confirmado: se queda. Sin cambios de codigo. Con max_attempts y submitted_count el frontend pinta «intento 2 de 3». No es informacion sensible.</t>
        </is>
      </c>
    </row>
    <row r="9">
      <c r="A9" s="2" t="inlineStr">
        <is>
          <t>D8</t>
        </is>
      </c>
      <c r="B9" s="2" t="inlineStr">
        <is>
          <t>Tarea</t>
        </is>
      </c>
      <c r="C9" s="2" t="inlineStr">
        <is>
          <t>1. Decisiones que bloquean otras tareas</t>
        </is>
      </c>
      <c r="D9" s="2" t="n"/>
      <c r="E9" s="2" t="inlineStr">
        <is>
          <t>4 · Normal</t>
        </is>
      </c>
      <c r="F9" s="5" t="inlineStr">
        <is>
          <t>¿Formalizar ENABLE ROW LEVEL SECURITY en una migración?</t>
        </is>
      </c>
      <c r="G9" s="2" t="inlineStr">
        <is>
          <t>• Hoy lo pone Supabase; un PostgreSQL que no sea Supabase no lo tendría.</t>
        </is>
      </c>
      <c r="H9" s="2" t="n"/>
      <c r="I9" s="2" t="inlineStr">
        <is>
          <t>ESTADO_Y_PENDIENTES.md §5, pendientes 31/07</t>
        </is>
      </c>
      <c r="J9" s="2" t="inlineStr">
        <is>
          <t>Hecho</t>
        </is>
      </c>
      <c r="K9" s="8" t="n">
        <v>46278</v>
      </c>
      <c r="L9" s="2" t="inlineStr">
        <is>
          <t>Migracion 2026_09_13_000004 sobre 26 tablas, idempotente, aplicada. RLS sin politicas no afecta a la app (su rol es propietario); cierra la API REST automatica de Supabase. Ademas schema:dump-sql ya no pierde el bloque.</t>
        </is>
      </c>
    </row>
    <row r="10">
      <c r="A10" s="2" t="inlineStr">
        <is>
          <t>S1</t>
        </is>
      </c>
      <c r="B10" s="2" t="inlineStr">
        <is>
          <t>Tarea</t>
        </is>
      </c>
      <c r="C10" s="2" t="inlineStr">
        <is>
          <t>2. Seguridad</t>
        </is>
      </c>
      <c r="D10" s="2" t="n"/>
      <c r="E10" s="2" t="inlineStr">
        <is>
          <t>1 · Alta</t>
        </is>
      </c>
      <c r="F10" s="5" t="inlineStr">
        <is>
          <t>Revisión sistemática de seguridad por rol, endpoint por endpoint</t>
        </is>
      </c>
      <c r="G10" s="2" t="inlineStr">
        <is>
          <t>• Pregunta a responder en cada ruta: qué campos ve cada rol, no solo si llega.
• Motivo: 5 hallazgos aparecieron por casualidad (G12, 05/08, 07/08, 08/08, 08/08 tarde) y ningún test existente los detectaba.
• Herramienta: /security-review o /code-review sobre la rama.</t>
        </is>
      </c>
      <c r="H10" s="2" t="n"/>
      <c r="I10" s="2" t="n"/>
      <c r="J10" s="2" t="inlineStr">
        <is>
          <t>Hecho</t>
        </is>
      </c>
      <c r="K10" s="8" t="n">
        <v>46278</v>
      </c>
      <c r="L10" s="2" t="inlineStr">
        <is>
          <t>Revisados los 122 endpoints contra los 4 roles. 1 hallazgo real corregido: /users era puerta paralela a /students (docente sin asignacion listaba a todos los menores con nombre y correo). Blindado por tests/Feature/Security/AlcancePorRolTest.php (13 casos). Deja abiertos S5 y S6.</t>
        </is>
      </c>
    </row>
    <row r="11">
      <c r="A11" s="2" t="inlineStr">
        <is>
          <t>S2</t>
        </is>
      </c>
      <c r="B11" s="2" t="inlineStr">
        <is>
          <t>Tarea</t>
        </is>
      </c>
      <c r="C11" s="2" t="inlineStr">
        <is>
          <t>2. Seguridad</t>
        </is>
      </c>
      <c r="D11" s="2" t="n"/>
      <c r="E11" s="2" t="inlineStr">
        <is>
          <t>1 · Alta</t>
        </is>
      </c>
      <c r="F11" s="5" t="inlineStr">
        <is>
          <t>Cambiar la contraseña temporal del superadmin en producción</t>
        </is>
      </c>
      <c r="G11" s="2" t="inlineStr">
        <is>
          <t>• POST /api/password/change. Antes de que haya usuarios reales.</t>
        </is>
      </c>
      <c r="H11" s="2" t="n"/>
      <c r="I11" s="2" t="n"/>
      <c r="J11" s="2" t="inlineStr">
        <is>
          <t>Pendiente</t>
        </is>
      </c>
      <c r="K11" s="8" t="n"/>
      <c r="L11" s="2" t="n"/>
    </row>
    <row r="12">
      <c r="A12" s="2" t="inlineStr">
        <is>
          <t>S3</t>
        </is>
      </c>
      <c r="B12" s="2" t="inlineStr">
        <is>
          <t>Tarea</t>
        </is>
      </c>
      <c r="C12" s="2" t="inlineStr">
        <is>
          <t>2. Seguridad</t>
        </is>
      </c>
      <c r="D12" s="2" t="n"/>
      <c r="E12" s="2" t="inlineStr">
        <is>
          <t>1 · Alta</t>
        </is>
      </c>
      <c r="F12" s="5" t="inlineStr">
        <is>
          <t>Credencial de PostgreSQL en el historial de git</t>
        </is>
      </c>
      <c r="G12" s="2" t="n"/>
      <c r="H12" s="2" t="n"/>
      <c r="I12" s="2" t="n"/>
      <c r="J12" s="2" t="inlineStr">
        <is>
          <t>Pendiente</t>
        </is>
      </c>
      <c r="K12" s="8" t="n"/>
      <c r="L12" s="2" t="n"/>
    </row>
    <row r="13">
      <c r="A13" s="3" t="inlineStr">
        <is>
          <t>S3.1</t>
        </is>
      </c>
      <c r="B13" s="3" t="inlineStr">
        <is>
          <t>Subtarea</t>
        </is>
      </c>
      <c r="C13" s="3" t="inlineStr">
        <is>
          <t>2. Seguridad</t>
        </is>
      </c>
      <c r="D13" s="3" t="n"/>
      <c r="E13" s="3" t="inlineStr">
        <is>
          <t>1 · Alta</t>
        </is>
      </c>
      <c r="F13" s="6" t="inlineStr">
        <is>
          <t>Rotar esa contraseña si sigue viva en alguna base.</t>
        </is>
      </c>
      <c r="G13" s="3" t="n"/>
      <c r="H13" s="3" t="n"/>
      <c r="I13" s="3" t="n"/>
      <c r="J13" s="3" t="inlineStr">
        <is>
          <t>Pendiente</t>
        </is>
      </c>
      <c r="K13" s="9" t="n"/>
      <c r="L13" s="3" t="n"/>
    </row>
    <row r="14">
      <c r="A14" s="3" t="inlineStr">
        <is>
          <t>S3.2</t>
        </is>
      </c>
      <c r="B14" s="3" t="inlineStr">
        <is>
          <t>Subtarea</t>
        </is>
      </c>
      <c r="C14" s="3" t="inlineStr">
        <is>
          <t>2. Seguridad</t>
        </is>
      </c>
      <c r="D14" s="3" t="n"/>
      <c r="E14" s="3" t="inlineStr">
        <is>
          <t>1 · Alta</t>
        </is>
      </c>
      <c r="F14" s="6" t="inlineStr">
        <is>
          <t>Decidir con el equipo si se limpia el historial (git filter-repo/BFG + push forzado a Infil505/NeoEduCore-Back; afecta a los otros proponentes).</t>
        </is>
      </c>
      <c r="G14" s="3" t="n"/>
      <c r="H14" s="3" t="n"/>
      <c r="I14" s="3" t="n"/>
      <c r="J14" s="3" t="inlineStr">
        <is>
          <t>Pendiente</t>
        </is>
      </c>
      <c r="K14" s="9" t="n"/>
      <c r="L14" s="3" t="n"/>
    </row>
    <row r="15">
      <c r="A15" s="2" t="inlineStr">
        <is>
          <t>S4</t>
        </is>
      </c>
      <c r="B15" s="2" t="inlineStr">
        <is>
          <t>Tarea</t>
        </is>
      </c>
      <c r="C15" s="2" t="inlineStr">
        <is>
          <t>2. Seguridad</t>
        </is>
      </c>
      <c r="D15" s="2" t="n"/>
      <c r="E15" s="2" t="inlineStr">
        <is>
          <t>2 · Media</t>
        </is>
      </c>
      <c r="F15" s="5" t="inlineStr">
        <is>
          <t>Posible inyección de fórmulas en los CSV exportados</t>
        </is>
      </c>
      <c r="G15" s="2" t="inlineStr">
        <is>
          <t>• (por verificar)
• ReportExportService::streamCsv() escribe con fputcsv los textos tal cual. Si un nombre de alumno, título de examen o materia empieza por =, +, - o @, Excel lo ejecuta como fórmula al abrir el CSV (p. ej. =HYPERLINK(...)).
• Ninguna validación lo impide: full_name solo exige string, min y max.
• Corrección habitual: anteponer ' a esas celdas al exportar. Hacerlo junto con B1, que toca el mismo servicio.
• Detectado el 10/09/2026 al revisar el servicio para anotar B1; no se ha comprobado con una petición real.</t>
        </is>
      </c>
      <c r="H15" s="2" t="n"/>
      <c r="I15" s="2" t="n"/>
      <c r="J15" s="2" t="inlineStr">
        <is>
          <t>Hecho</t>
        </is>
      </c>
      <c r="K15" s="8" t="n">
        <v>46278</v>
      </c>
      <c r="L15" s="2" t="inlineStr">
        <is>
          <t>Confirmado y corregido. CSV neutraliza con apóstrofo; XLSX escribe tipo texto explícito. Cubierto por tests/Feature/Crud/ReportExportsTest.php.</t>
        </is>
      </c>
    </row>
    <row r="16">
      <c r="A16" s="2" t="inlineStr">
        <is>
          <t>P1</t>
        </is>
      </c>
      <c r="B16" s="2" t="inlineStr">
        <is>
          <t>Tarea</t>
        </is>
      </c>
      <c r="C16" s="2" t="inlineStr">
        <is>
          <t>3. Producción y despliegue</t>
        </is>
      </c>
      <c r="D16" s="2" t="n"/>
      <c r="E16" s="2" t="inlineStr">
        <is>
          <t>1 · Alta</t>
        </is>
      </c>
      <c r="F16" s="5" t="inlineStr">
        <is>
          <t>Desplegar el código en Coolify</t>
        </is>
      </c>
      <c r="G16" s="2" t="inlineStr">
        <is>
          <t>• Las migraciones ya están en producción; los cambios de permisos solo entran al desplegar.</t>
        </is>
      </c>
      <c r="H16" s="2" t="n"/>
      <c r="I16" s="2" t="inlineStr">
        <is>
          <t>DEPLOY_COOLIFY.md §2–5</t>
        </is>
      </c>
      <c r="J16" s="2" t="inlineStr">
        <is>
          <t>Pendiente</t>
        </is>
      </c>
      <c r="K16" s="8" t="n"/>
      <c r="L16" s="2" t="n"/>
    </row>
    <row r="17">
      <c r="A17" s="3" t="inlineStr">
        <is>
          <t>P1.1</t>
        </is>
      </c>
      <c r="B17" s="3" t="inlineStr">
        <is>
          <t>Subtarea</t>
        </is>
      </c>
      <c r="C17" s="3" t="inlineStr">
        <is>
          <t>3. Producción y despliegue</t>
        </is>
      </c>
      <c r="D17" s="3" t="n"/>
      <c r="E17" s="3" t="inlineStr">
        <is>
          <t>1 · Alta</t>
        </is>
      </c>
      <c r="F17" s="6" t="inlineStr">
        <is>
          <t>Recurso App (Octane + FrankenPHP)</t>
        </is>
      </c>
      <c r="G17" s="3" t="n"/>
      <c r="H17" s="3" t="n"/>
      <c r="I17" s="3" t="n"/>
      <c r="J17" s="3" t="inlineStr">
        <is>
          <t>Pendiente</t>
        </is>
      </c>
      <c r="K17" s="9" t="n"/>
      <c r="L17" s="3" t="n"/>
    </row>
    <row r="18">
      <c r="A18" s="3" t="inlineStr">
        <is>
          <t>P1.2</t>
        </is>
      </c>
      <c r="B18" s="3" t="inlineStr">
        <is>
          <t>Subtarea</t>
        </is>
      </c>
      <c r="C18" s="3" t="inlineStr">
        <is>
          <t>3. Producción y despliegue</t>
        </is>
      </c>
      <c r="D18" s="3" t="n"/>
      <c r="E18" s="3" t="inlineStr">
        <is>
          <t>1 · Alta</t>
        </is>
      </c>
      <c r="F18" s="6" t="inlineStr">
        <is>
          <t>Recurso Worker (queue:work)</t>
        </is>
      </c>
      <c r="G18" s="3" t="inlineStr">
        <is>
          <t>• Imprescindible desde D1: sin el, los intentos se quedan en «preparing» y el alumno nunca ve el analisis.</t>
        </is>
      </c>
      <c r="H18" s="3" t="n"/>
      <c r="I18" s="3" t="n"/>
      <c r="J18" s="3" t="inlineStr">
        <is>
          <t>Pendiente</t>
        </is>
      </c>
      <c r="K18" s="9" t="n"/>
      <c r="L18" s="3" t="n"/>
    </row>
    <row r="19">
      <c r="A19" s="3" t="inlineStr">
        <is>
          <t>P1.3</t>
        </is>
      </c>
      <c r="B19" s="3" t="inlineStr">
        <is>
          <t>Subtarea</t>
        </is>
      </c>
      <c r="C19" s="3" t="inlineStr">
        <is>
          <t>3. Producción y despliegue</t>
        </is>
      </c>
      <c r="D19" s="3" t="n"/>
      <c r="E19" s="3" t="inlineStr">
        <is>
          <t>1 · Alta</t>
        </is>
      </c>
      <c r="F19" s="6" t="inlineStr">
        <is>
          <t>Scheduled task (schedule:run)</t>
        </is>
      </c>
      <c r="G19" s="3" t="n"/>
      <c r="H19" s="3" t="n"/>
      <c r="I19" s="3" t="n"/>
      <c r="J19" s="3" t="inlineStr">
        <is>
          <t>Pendiente</t>
        </is>
      </c>
      <c r="K19" s="9" t="n"/>
      <c r="L19" s="3" t="n"/>
    </row>
    <row r="20">
      <c r="A20" s="2" t="inlineStr">
        <is>
          <t>P2</t>
        </is>
      </c>
      <c r="B20" s="2" t="inlineStr">
        <is>
          <t>Tarea</t>
        </is>
      </c>
      <c r="C20" s="2" t="inlineStr">
        <is>
          <t>3. Producción y despliegue</t>
        </is>
      </c>
      <c r="D20" s="2" t="n"/>
      <c r="E20" s="2" t="inlineStr">
        <is>
          <t>1 · Alta</t>
        </is>
      </c>
      <c r="F20" s="5" t="inlineStr">
        <is>
          <t>Variables de entorno en Coolify</t>
        </is>
      </c>
      <c r="G20" s="2" t="inlineStr">
        <is>
          <t>• (el .env local no llega al servidor)</t>
        </is>
      </c>
      <c r="H20" s="2" t="n"/>
      <c r="I20" s="2" t="n"/>
      <c r="J20" s="2" t="inlineStr">
        <is>
          <t>Pendiente</t>
        </is>
      </c>
      <c r="K20" s="8" t="n"/>
      <c r="L20" s="2" t="n"/>
    </row>
    <row r="21">
      <c r="A21" s="3" t="inlineStr">
        <is>
          <t>P2.1</t>
        </is>
      </c>
      <c r="B21" s="3" t="inlineStr">
        <is>
          <t>Subtarea</t>
        </is>
      </c>
      <c r="C21" s="3" t="inlineStr">
        <is>
          <t>3. Producción y despliegue</t>
        </is>
      </c>
      <c r="D21" s="3" t="n"/>
      <c r="E21" s="3" t="inlineStr">
        <is>
          <t>1 · Alta</t>
        </is>
      </c>
      <c r="F21" s="6" t="inlineStr">
        <is>
          <t>CACHE_STORE distinto de array — si no, ningún rate limiter es global</t>
        </is>
      </c>
      <c r="G21" s="3" t="n"/>
      <c r="H21" s="3" t="n"/>
      <c r="I21" s="3" t="n"/>
      <c r="J21" s="3" t="inlineStr">
        <is>
          <t>Pendiente</t>
        </is>
      </c>
      <c r="K21" s="9" t="n"/>
      <c r="L21" s="3" t="n"/>
    </row>
    <row r="22">
      <c r="A22" s="3" t="inlineStr">
        <is>
          <t>P2.2</t>
        </is>
      </c>
      <c r="B22" s="3" t="inlineStr">
        <is>
          <t>Subtarea</t>
        </is>
      </c>
      <c r="C22" s="3" t="inlineStr">
        <is>
          <t>3. Producción y despliegue</t>
        </is>
      </c>
      <c r="D22" s="3" t="n"/>
      <c r="E22" s="3" t="inlineStr">
        <is>
          <t>1 · Alta</t>
        </is>
      </c>
      <c r="F22" s="6" t="inlineStr">
        <is>
          <t>TRUSTED_PROXIES — si no, todos los límites por IP agrupan a los usuarios y el sistema se autobloquea</t>
        </is>
      </c>
      <c r="G22" s="3" t="n"/>
      <c r="H22" s="3" t="n"/>
      <c r="I22" s="3" t="n"/>
      <c r="J22" s="3" t="inlineStr">
        <is>
          <t>Pendiente</t>
        </is>
      </c>
      <c r="K22" s="9" t="n"/>
      <c r="L22" s="3" t="n"/>
    </row>
    <row r="23">
      <c r="A23" s="3" t="inlineStr">
        <is>
          <t>P2.3</t>
        </is>
      </c>
      <c r="B23" s="3" t="inlineStr">
        <is>
          <t>Subtarea</t>
        </is>
      </c>
      <c r="C23" s="3" t="inlineStr">
        <is>
          <t>3. Producción y despliegue</t>
        </is>
      </c>
      <c r="D23" s="3" t="n"/>
      <c r="E23" s="3" t="inlineStr">
        <is>
          <t>1 · Alta</t>
        </is>
      </c>
      <c r="F23" s="6" t="inlineStr">
        <is>
          <t>APP_NAME=NeoEduCore</t>
        </is>
      </c>
      <c r="G23" s="3" t="n"/>
      <c r="H23" s="3" t="n"/>
      <c r="I23" s="3" t="n"/>
      <c r="J23" s="3" t="inlineStr">
        <is>
          <t>Pendiente</t>
        </is>
      </c>
      <c r="K23" s="9" t="n"/>
      <c r="L23" s="3" t="n"/>
    </row>
    <row r="24">
      <c r="A24" s="3" t="inlineStr">
        <is>
          <t>P2.4</t>
        </is>
      </c>
      <c r="B24" s="3" t="inlineStr">
        <is>
          <t>Subtarea</t>
        </is>
      </c>
      <c r="C24" s="3" t="inlineStr">
        <is>
          <t>3. Producción y despliegue</t>
        </is>
      </c>
      <c r="D24" s="3" t="n"/>
      <c r="E24" s="3" t="inlineStr">
        <is>
          <t>1 · Alta</t>
        </is>
      </c>
      <c r="F24" s="6" t="inlineStr">
        <is>
          <t>APP_URL=https://&lt;dominio real&gt; — y registrar la URL real en DEPLOY_COOLIFY.md:44 (hoy https://tu-dominio)</t>
        </is>
      </c>
      <c r="G24" s="3" t="n"/>
      <c r="H24" s="3" t="n"/>
      <c r="I24" s="3" t="n"/>
      <c r="J24" s="3" t="inlineStr">
        <is>
          <t>Pendiente</t>
        </is>
      </c>
      <c r="K24" s="9" t="n"/>
      <c r="L24" s="3" t="n"/>
    </row>
    <row r="25">
      <c r="A25" s="3" t="inlineStr">
        <is>
          <t>P2.5</t>
        </is>
      </c>
      <c r="B25" s="3" t="inlineStr">
        <is>
          <t>Subtarea</t>
        </is>
      </c>
      <c r="C25" s="3" t="inlineStr">
        <is>
          <t>3. Producción y despliegue</t>
        </is>
      </c>
      <c r="D25" s="3" t="n"/>
      <c r="E25" s="3" t="inlineStr">
        <is>
          <t>1 · Alta</t>
        </is>
      </c>
      <c r="F25" s="6" t="inlineStr">
        <is>
          <t>OPENAI_REQUEST_TIMEOUT=15</t>
        </is>
      </c>
      <c r="G25" s="3" t="n"/>
      <c r="H25" s="3" t="n"/>
      <c r="I25" s="3" t="n"/>
      <c r="J25" s="3" t="inlineStr">
        <is>
          <t>Pendiente</t>
        </is>
      </c>
      <c r="K25" s="9" t="n"/>
      <c r="L25" s="3" t="n"/>
    </row>
    <row r="26">
      <c r="A26" s="3" t="inlineStr">
        <is>
          <t>P2.6</t>
        </is>
      </c>
      <c r="B26" s="3" t="inlineStr">
        <is>
          <t>Subtarea</t>
        </is>
      </c>
      <c r="C26" s="3" t="inlineStr">
        <is>
          <t>3. Producción y despliegue</t>
        </is>
      </c>
      <c r="D26" s="3" t="n"/>
      <c r="E26" s="3" t="inlineStr">
        <is>
          <t>1 · Alta</t>
        </is>
      </c>
      <c r="F26" s="6" t="inlineStr">
        <is>
          <t>DB_STATEMENT_TIMEOUT_MS=15000</t>
        </is>
      </c>
      <c r="G26" s="3" t="n"/>
      <c r="H26" s="3" t="n"/>
      <c r="I26" s="3" t="n"/>
      <c r="J26" s="3" t="inlineStr">
        <is>
          <t>Pendiente</t>
        </is>
      </c>
      <c r="K26" s="9" t="n"/>
      <c r="L26" s="3" t="n"/>
    </row>
    <row r="27">
      <c r="A27" s="3" t="inlineStr">
        <is>
          <t>P2.7</t>
        </is>
      </c>
      <c r="B27" s="3" t="inlineStr">
        <is>
          <t>Subtarea</t>
        </is>
      </c>
      <c r="C27" s="3" t="inlineStr">
        <is>
          <t>3. Producción y despliegue</t>
        </is>
      </c>
      <c r="D27" s="3" t="n"/>
      <c r="E27" s="3" t="inlineStr">
        <is>
          <t>1 · Alta</t>
        </is>
      </c>
      <c r="F27" s="6" t="inlineStr">
        <is>
          <t>SANCTUM_TOKEN_EXPIRATION_MINUTES=720 y SANCTUM_TOKEN_INACTIVITY_MINUTES=60</t>
        </is>
      </c>
      <c r="G27" s="3" t="inlineStr">
        <is>
          <t>• Las dos, segun D3.
• EXPIRATION es el tope absoluto de jornada; INACTIVITY es lo que exige [758].</t>
        </is>
      </c>
      <c r="H27" s="3" t="inlineStr">
        <is>
          <t>D3</t>
        </is>
      </c>
      <c r="I27" s="3" t="n"/>
      <c r="J27" s="3" t="inlineStr">
        <is>
          <t>Pendiente</t>
        </is>
      </c>
      <c r="K27" s="9" t="n"/>
      <c r="L27" s="3" t="n"/>
    </row>
    <row r="28">
      <c r="A28" s="2" t="inlineStr">
        <is>
          <t>P3</t>
        </is>
      </c>
      <c r="B28" s="2" t="inlineStr">
        <is>
          <t>Tarea</t>
        </is>
      </c>
      <c r="C28" s="2" t="inlineStr">
        <is>
          <t>3. Producción y despliegue</t>
        </is>
      </c>
      <c r="D28" s="2" t="n"/>
      <c r="E28" s="2" t="inlineStr">
        <is>
          <t>1 · Alta</t>
        </is>
      </c>
      <c r="F28" s="5" t="inlineStr">
        <is>
          <t>Cargar las asignaciones de docentes</t>
        </is>
      </c>
      <c r="G28" s="2" t="inlineStr">
        <is>
          <t>• (POST /api/teacher-assignments)
• La tabla nace vacía a propósito: hasta entonces ningún docente ve a ningún estudiante.</t>
        </is>
      </c>
      <c r="H28" s="2" t="n"/>
      <c r="I28" s="2" t="n"/>
      <c r="J28" s="2" t="inlineStr">
        <is>
          <t>Pendiente</t>
        </is>
      </c>
      <c r="K28" s="8" t="n"/>
      <c r="L28" s="2" t="n"/>
    </row>
    <row r="29">
      <c r="A29" s="2" t="inlineStr">
        <is>
          <t>P4</t>
        </is>
      </c>
      <c r="B29" s="2" t="inlineStr">
        <is>
          <t>Tarea</t>
        </is>
      </c>
      <c r="C29" s="2" t="inlineStr">
        <is>
          <t>3. Producción y despliegue</t>
        </is>
      </c>
      <c r="D29" s="2" t="n"/>
      <c r="E29" s="2" t="inlineStr">
        <is>
          <t>2 · Media</t>
        </is>
      </c>
      <c r="F29" s="5" t="inlineStr">
        <is>
          <t>Cloudflare delante del dominio + sus rangos en TRUSTED_PROXIES, en el mismo cambio</t>
        </is>
      </c>
      <c r="G29" s="2" t="inlineStr">
        <is>
          <t>• ⚠️ Lo primero sin lo segundo deja el sistema peor que ahora.</t>
        </is>
      </c>
      <c r="H29" s="2" t="n"/>
      <c r="I29" s="2" t="inlineStr">
        <is>
          <t>DEPLOY_COOLIFY.md §9</t>
        </is>
      </c>
      <c r="J29" s="2" t="inlineStr">
        <is>
          <t>Pendiente</t>
        </is>
      </c>
      <c r="K29" s="8" t="n"/>
      <c r="L29" s="2" t="n"/>
    </row>
    <row r="30">
      <c r="A30" s="2" t="inlineStr">
        <is>
          <t>P5</t>
        </is>
      </c>
      <c r="B30" s="2" t="inlineStr">
        <is>
          <t>Tarea</t>
        </is>
      </c>
      <c r="C30" s="2" t="inlineStr">
        <is>
          <t>3. Producción y despliegue</t>
        </is>
      </c>
      <c r="D30" s="2" t="n"/>
      <c r="E30" s="2" t="inlineStr">
        <is>
          <t>4 · Normal</t>
        </is>
      </c>
      <c r="F30" s="5" t="inlineStr">
        <is>
          <t>Rate limiting en Traefik</t>
        </is>
      </c>
      <c r="G30" s="2" t="inlineStr">
        <is>
          <t>• como segunda capa</t>
        </is>
      </c>
      <c r="H30" s="2" t="n"/>
      <c r="I30" s="2" t="n"/>
      <c r="J30" s="2" t="inlineStr">
        <is>
          <t>Pendiente</t>
        </is>
      </c>
      <c r="K30" s="8" t="n"/>
      <c r="L30" s="2" t="n"/>
    </row>
    <row r="31">
      <c r="A31" s="2" t="inlineStr">
        <is>
          <t>P6</t>
        </is>
      </c>
      <c r="B31" s="2" t="inlineStr">
        <is>
          <t>Tarea</t>
        </is>
      </c>
      <c r="C31" s="2" t="inlineStr">
        <is>
          <t>3. Producción y despliegue</t>
        </is>
      </c>
      <c r="D31" s="2" t="n"/>
      <c r="E31" s="2" t="inlineStr">
        <is>
          <t>2 · Media</t>
        </is>
      </c>
      <c r="F31" s="5" t="inlineStr">
        <is>
          <t>Backups cifrados de la base de datos</t>
        </is>
      </c>
      <c r="G31" s="2" t="inlineStr">
        <is>
          <t>• no hay script ni documentación (RNF de seguridad)</t>
        </is>
      </c>
      <c r="H31" s="2" t="n"/>
      <c r="I31" s="2" t="n"/>
      <c r="J31" s="2" t="inlineStr">
        <is>
          <t>Pendiente</t>
        </is>
      </c>
      <c r="K31" s="8" t="n"/>
      <c r="L31" s="2" t="n"/>
    </row>
    <row r="32">
      <c r="A32" s="2" t="inlineStr">
        <is>
          <t>P7</t>
        </is>
      </c>
      <c r="B32" s="2" t="inlineStr">
        <is>
          <t>Tarea</t>
        </is>
      </c>
      <c r="C32" s="2" t="inlineStr">
        <is>
          <t>3. Producción y despliegue</t>
        </is>
      </c>
      <c r="D32" s="2" t="n"/>
      <c r="E32" s="2" t="inlineStr">
        <is>
          <t>2 · Media</t>
        </is>
      </c>
      <c r="F32" s="5" t="inlineStr">
        <is>
          <t>Monitoreo y alertas de caída</t>
        </is>
      </c>
      <c r="G32" s="2" t="inlineStr">
        <is>
          <t>• Sentry o equivalente (RNF de disponibilidad)</t>
        </is>
      </c>
      <c r="H32" s="2" t="n"/>
      <c r="I32" s="2" t="n"/>
      <c r="J32" s="2" t="inlineStr">
        <is>
          <t>Pendiente</t>
        </is>
      </c>
      <c r="K32" s="8" t="n"/>
      <c r="L32" s="2" t="n"/>
    </row>
    <row r="33">
      <c r="A33" s="2" t="inlineStr">
        <is>
          <t>P8</t>
        </is>
      </c>
      <c r="B33" s="2" t="inlineStr">
        <is>
          <t>Tarea</t>
        </is>
      </c>
      <c r="C33" s="2" t="inlineStr">
        <is>
          <t>3. Producción y despliegue</t>
        </is>
      </c>
      <c r="D33" s="2" t="n"/>
      <c r="E33" s="2" t="inlineStr">
        <is>
          <t>4 · Normal</t>
        </is>
      </c>
      <c r="F33" s="5" t="inlineStr">
        <is>
          <t>Documentar HTTPS/TLS</t>
        </is>
      </c>
      <c r="G33" s="2" t="inlineStr">
        <is>
          <t>• en DEPLOY_COOLIFY.md (lo resuelve Coolify, pero debe quedar escrito)</t>
        </is>
      </c>
      <c r="H33" s="2" t="n"/>
      <c r="I33" s="2" t="n"/>
      <c r="J33" s="2" t="inlineStr">
        <is>
          <t>Pendiente</t>
        </is>
      </c>
      <c r="K33" s="8" t="n"/>
      <c r="L33" s="2" t="n"/>
    </row>
    <row r="34">
      <c r="A34" s="2" t="inlineStr">
        <is>
          <t>M1</t>
        </is>
      </c>
      <c r="B34" s="2" t="inlineStr">
        <is>
          <t>Tarea</t>
        </is>
      </c>
      <c r="C34" s="2" t="inlineStr">
        <is>
          <t>4. Mediciones</t>
        </is>
      </c>
      <c r="D34" s="2" t="n"/>
      <c r="E34" s="2" t="inlineStr">
        <is>
          <t>1 · Alta</t>
        </is>
      </c>
      <c r="F34" s="5" t="inlineStr">
        <is>
          <t>Verificar que $request-&gt;ip() devuelve IPs reales</t>
        </is>
      </c>
      <c r="G34" s="2" t="inlineStr">
        <is>
          <t>• en producción y no la de Traefik</t>
        </is>
      </c>
      <c r="H34" s="2" t="inlineStr">
        <is>
          <t>P1–P2</t>
        </is>
      </c>
      <c r="I34" s="2" t="n"/>
      <c r="J34" s="2" t="inlineStr">
        <is>
          <t>Pendiente</t>
        </is>
      </c>
      <c r="K34" s="8" t="n"/>
      <c r="L34" s="2" t="n"/>
    </row>
    <row r="35">
      <c r="A35" s="2" t="inlineStr">
        <is>
          <t>M2</t>
        </is>
      </c>
      <c r="B35" s="2" t="inlineStr">
        <is>
          <t>Tarea</t>
        </is>
      </c>
      <c r="C35" s="2" t="inlineStr">
        <is>
          <t>4. Mediciones</t>
        </is>
      </c>
      <c r="D35" s="2" t="n"/>
      <c r="E35" s="2" t="inlineStr">
        <is>
          <t>4 · Normal</t>
        </is>
      </c>
      <c r="F35" s="5" t="inlineStr">
        <is>
          <t>RTT real del contenedor a Supabase</t>
        </is>
      </c>
      <c r="G35" s="2" t="inlineStr">
        <is>
          <t>• psql "$DATABASE_URL" -c '\timing on' -c 'SELECT 1;' desde el contenedor desplegado.</t>
        </is>
      </c>
      <c r="H35" s="2" t="inlineStr">
        <is>
          <t>P1–P2</t>
        </is>
      </c>
      <c r="I35" s="2" t="inlineStr">
        <is>
          <t>ANALISIS_CONCURRENCIA.md §6.5</t>
        </is>
      </c>
      <c r="J35" s="2" t="inlineStr">
        <is>
          <t>Pendiente</t>
        </is>
      </c>
      <c r="K35" s="8" t="n"/>
      <c r="L35" s="2" t="n"/>
    </row>
    <row r="36">
      <c r="A36" s="2" t="inlineStr">
        <is>
          <t>M3</t>
        </is>
      </c>
      <c r="B36" s="2" t="inlineStr">
        <is>
          <t>Tarea</t>
        </is>
      </c>
      <c r="C36" s="2" t="inlineStr">
        <is>
          <t>4. Mediciones</t>
        </is>
      </c>
      <c r="D36" s="2" t="n"/>
      <c r="E36" s="2" t="inlineStr">
        <is>
          <t>4 · Normal</t>
        </is>
      </c>
      <c r="F36" s="5" t="inlineStr">
        <is>
          <t>Prueba de carga contra el despliegue real con Octane</t>
        </is>
      </c>
      <c r="G36" s="2" t="inlineStr">
        <is>
          <t>• (valida «200 concurrentes»)
• k6 run -e BASE_URL=https://&lt;host&gt;/api -e VUS=50 -e DURATION=60s k6/exam_peak.js</t>
        </is>
      </c>
      <c r="H36" s="2" t="inlineStr">
        <is>
          <t>P1–P2</t>
        </is>
      </c>
      <c r="I36" s="2" t="n"/>
      <c r="J36" s="2" t="inlineStr">
        <is>
          <t>Pendiente</t>
        </is>
      </c>
      <c r="K36" s="8" t="n"/>
      <c r="L36" s="2" t="n"/>
    </row>
    <row r="37">
      <c r="A37" s="2" t="inlineStr">
        <is>
          <t>M4</t>
        </is>
      </c>
      <c r="B37" s="2" t="inlineStr">
        <is>
          <t>Tarea</t>
        </is>
      </c>
      <c r="C37" s="2" t="inlineStr">
        <is>
          <t>4. Mediciones</t>
        </is>
      </c>
      <c r="D37" s="2" t="n"/>
      <c r="E37" s="2" t="inlineStr">
        <is>
          <t>2 · Media</t>
        </is>
      </c>
      <c r="F37" s="5" t="inlineStr">
        <is>
          <t>Informe de cobertura ≥ 70 %</t>
        </is>
      </c>
      <c r="G37" s="2" t="inlineStr">
        <is>
          <t>• php artisan test --coverage --min=70 (requiere Xdebug o PCOV).</t>
        </is>
      </c>
      <c r="H37" s="2" t="n"/>
      <c r="I37" s="2" t="n"/>
      <c r="J37" s="2" t="inlineStr">
        <is>
          <t>Hecho</t>
        </is>
      </c>
      <c r="K37" s="8" t="n">
        <v>46298</v>
      </c>
      <c r="L37" s="2" t="inlineStr">
        <is>
          <t>Líneas 91,36 % (4271/4675) sobre 565 tests; excluye app/Console y ApiSpec (herramientas de desarrollo). Antes 77,80 %</t>
        </is>
      </c>
    </row>
    <row r="38">
      <c r="A38" s="2" t="inlineStr">
        <is>
          <t>F1</t>
        </is>
      </c>
      <c r="B38" s="2" t="inlineStr">
        <is>
          <t>Tarea</t>
        </is>
      </c>
      <c r="C38" s="2" t="inlineStr">
        <is>
          <t>5. Frontend</t>
        </is>
      </c>
      <c r="D38" s="2" t="inlineStr">
        <is>
          <t>Funcionalidad nueva</t>
        </is>
      </c>
      <c r="E38" s="2" t="inlineStr">
        <is>
          <t>1 · Alta</t>
        </is>
      </c>
      <c r="F38" s="5" t="inlineStr">
        <is>
          <t>PDF de reportes</t>
        </is>
      </c>
      <c r="G38" s="2" t="inlineStr">
        <is>
          <t>• con gráficos de barras, líneas y pastel
• Datos: GET /reports/exams/{id}/summary y GET /reports/students/{id}/summary.
• performance_levels son categorías ordenadas: rampa de un solo tono, nunca verde/rojo.
• Hasta que exista, [236] del informe sigue siendo parcialmente falsa.</t>
        </is>
      </c>
      <c r="H38" s="2" t="n"/>
      <c r="I38" s="2" t="n"/>
      <c r="J38" s="2" t="inlineStr">
        <is>
          <t>Pendiente</t>
        </is>
      </c>
      <c r="K38" s="8" t="n"/>
      <c r="L38" s="2" t="n"/>
    </row>
    <row r="39">
      <c r="A39" s="2" t="inlineStr">
        <is>
          <t>F2</t>
        </is>
      </c>
      <c r="B39" s="2" t="inlineStr">
        <is>
          <t>Tarea</t>
        </is>
      </c>
      <c r="C39" s="2" t="inlineStr">
        <is>
          <t>5. Frontend</t>
        </is>
      </c>
      <c r="D39" s="2" t="inlineStr">
        <is>
          <t>Funcionalidad nueva</t>
        </is>
      </c>
      <c r="E39" s="2" t="inlineStr">
        <is>
          <t>1 · Alta</t>
        </is>
      </c>
      <c r="F39" s="5" t="inlineStr">
        <is>
          <t>PDF de estrategias del tutor</t>
        </is>
      </c>
      <c r="G39" s="2" t="inlineStr">
        <is>
          <t>• Datos: GET /reports/students/me/strategies y GET /reports/students/{id}/strategies.</t>
        </is>
      </c>
      <c r="H39" s="2" t="n"/>
      <c r="I39" s="2" t="n"/>
      <c r="J39" s="2" t="inlineStr">
        <is>
          <t>Pendiente</t>
        </is>
      </c>
      <c r="K39" s="8" t="n"/>
      <c r="L39" s="2" t="n"/>
    </row>
    <row r="40">
      <c r="A40" s="2" t="inlineStr">
        <is>
          <t>F3</t>
        </is>
      </c>
      <c r="B40" s="2" t="inlineStr">
        <is>
          <t>Tarea</t>
        </is>
      </c>
      <c r="C40" s="2" t="inlineStr">
        <is>
          <t>5. Frontend</t>
        </is>
      </c>
      <c r="D40" s="2" t="inlineStr">
        <is>
          <t>Funcionalidad nueva</t>
        </is>
      </c>
      <c r="E40" s="2" t="inlineStr">
        <is>
          <t>1 · Alta</t>
        </is>
      </c>
      <c r="F40" s="5" t="inlineStr">
        <is>
          <t>Panel de superadmin</t>
        </is>
      </c>
      <c r="G40" s="2" t="inlineStr">
        <is>
          <t>• instituciones y sus administradores</t>
        </is>
      </c>
      <c r="H40" s="2" t="n"/>
      <c r="I40" s="2" t="n"/>
      <c r="J40" s="2" t="inlineStr">
        <is>
          <t>Pendiente</t>
        </is>
      </c>
      <c r="K40" s="8" t="n"/>
      <c r="L40" s="2" t="n"/>
    </row>
    <row r="41">
      <c r="A41" s="2" t="inlineStr">
        <is>
          <t>F4</t>
        </is>
      </c>
      <c r="B41" s="2" t="inlineStr">
        <is>
          <t>Tarea</t>
        </is>
      </c>
      <c r="C41" s="2" t="inlineStr">
        <is>
          <t>5. Frontend</t>
        </is>
      </c>
      <c r="D41" s="2" t="inlineStr">
        <is>
          <t>Funcionalidad nueva</t>
        </is>
      </c>
      <c r="E41" s="2" t="inlineStr">
        <is>
          <t>1 · Alta</t>
        </is>
      </c>
      <c r="F41" s="5" t="inlineStr">
        <is>
          <t>Pantalla de admin para asignar docentes</t>
        </is>
      </c>
      <c r="G41" s="2" t="inlineStr">
        <is>
          <t>• (/api/teacher-assignments)</t>
        </is>
      </c>
      <c r="H41" s="2" t="n"/>
      <c r="I41" s="2" t="n"/>
      <c r="J41" s="2" t="inlineStr">
        <is>
          <t>Pendiente</t>
        </is>
      </c>
      <c r="K41" s="8" t="n"/>
      <c r="L41" s="2" t="n"/>
    </row>
    <row r="42">
      <c r="A42" s="2" t="inlineStr">
        <is>
          <t>F5</t>
        </is>
      </c>
      <c r="B42" s="2" t="inlineStr">
        <is>
          <t>Tarea</t>
        </is>
      </c>
      <c r="C42" s="2" t="inlineStr">
        <is>
          <t>5. Frontend</t>
        </is>
      </c>
      <c r="D42" s="2" t="inlineStr">
        <is>
          <t>Funcionalidad nueva</t>
        </is>
      </c>
      <c r="E42" s="2" t="inlineStr">
        <is>
          <t>4 · Normal</t>
        </is>
      </c>
      <c r="F42" s="5" t="inlineStr">
        <is>
          <t>Confirmación antes de borrar</t>
        </is>
      </c>
      <c r="G42" s="2" t="inlineStr">
        <is>
          <t>• materias/grupos/exámenes/usuarios, mostrando exams_count (los borrados cascadean a resultados de alumnos)</t>
        </is>
      </c>
      <c r="H42" s="2" t="n"/>
      <c r="I42" s="2" t="n"/>
      <c r="J42" s="2" t="inlineStr">
        <is>
          <t>Pendiente</t>
        </is>
      </c>
      <c r="K42" s="8" t="n"/>
      <c r="L42" s="2" t="n"/>
    </row>
    <row r="43">
      <c r="A43" s="2" t="inlineStr">
        <is>
          <t>F6</t>
        </is>
      </c>
      <c r="B43" s="2" t="inlineStr">
        <is>
          <t>Tarea</t>
        </is>
      </c>
      <c r="C43" s="2" t="inlineStr">
        <is>
          <t>5. Frontend</t>
        </is>
      </c>
      <c r="D43" s="2" t="inlineStr">
        <is>
          <t>Funcionalidad nueva</t>
        </is>
      </c>
      <c r="E43" s="2" t="inlineStr">
        <is>
          <t>4 · Normal</t>
        </is>
      </c>
      <c r="F43" s="5" t="inlineStr">
        <is>
          <t>Saludo con el nombre del alumno en el tutor</t>
        </is>
      </c>
      <c r="G43" s="2" t="inlineStr">
        <is>
          <t>• (el backend ya no lo envía a OpenAI)</t>
        </is>
      </c>
      <c r="H43" s="2" t="n"/>
      <c r="I43" s="2" t="n"/>
      <c r="J43" s="2" t="inlineStr">
        <is>
          <t>Pendiente</t>
        </is>
      </c>
      <c r="K43" s="8" t="n"/>
      <c r="L43" s="2" t="n"/>
    </row>
    <row r="44">
      <c r="A44" s="2" t="inlineStr">
        <is>
          <t>F7</t>
        </is>
      </c>
      <c r="B44" s="2" t="inlineStr">
        <is>
          <t>Tarea</t>
        </is>
      </c>
      <c r="C44" s="2" t="inlineStr">
        <is>
          <t>5. Frontend</t>
        </is>
      </c>
      <c r="D44" s="2" t="inlineStr">
        <is>
          <t>Funcionalidad nueva</t>
        </is>
      </c>
      <c r="E44" s="2" t="inlineStr">
        <is>
          <t>4 · Normal</t>
        </is>
      </c>
      <c r="F44" s="5" t="inlineStr">
        <is>
          <t>Aviso de IA en cada respuesta del tutor</t>
        </is>
      </c>
      <c r="G44" s="2" t="inlineStr">
        <is>
          <t>• (según D4)</t>
        </is>
      </c>
      <c r="H44" s="2" t="inlineStr">
        <is>
          <t>D4</t>
        </is>
      </c>
      <c r="I44" s="2" t="n"/>
      <c r="J44" s="2" t="inlineStr">
        <is>
          <t>Pendiente</t>
        </is>
      </c>
      <c r="K44" s="8" t="n"/>
      <c r="L44" s="2" t="inlineStr">
        <is>
          <t>Listo para consumir: el backend lo manda en data.ai_notice (D4).</t>
        </is>
      </c>
    </row>
    <row r="45">
      <c r="A45" s="2" t="inlineStr">
        <is>
          <t>F8</t>
        </is>
      </c>
      <c r="B45" s="2" t="inlineStr">
        <is>
          <t>Tarea</t>
        </is>
      </c>
      <c r="C45" s="2" t="inlineStr">
        <is>
          <t>5. Frontend</t>
        </is>
      </c>
      <c r="D45" s="2" t="inlineStr">
        <is>
          <t>Funcionalidad nueva</t>
        </is>
      </c>
      <c r="E45" s="2" t="inlineStr">
        <is>
          <t>4 · Normal</t>
        </is>
      </c>
      <c r="F45" s="5" t="inlineStr">
        <is>
          <t>Cargar el diagnóstico automáticamente al abrir el tutor</t>
        </is>
      </c>
      <c r="G45" s="2" t="inlineStr">
        <is>
          <t>• (GET /ai/tutor/diagnosis)</t>
        </is>
      </c>
      <c r="H45" s="2" t="n"/>
      <c r="I45" s="2" t="n"/>
      <c r="J45" s="2" t="inlineStr">
        <is>
          <t>Pendiente</t>
        </is>
      </c>
      <c r="K45" s="8" t="n"/>
      <c r="L45" s="2" t="n"/>
    </row>
    <row r="46">
      <c r="A46" s="2" t="inlineStr">
        <is>
          <t>F9</t>
        </is>
      </c>
      <c r="B46" s="2" t="inlineStr">
        <is>
          <t>Tarea</t>
        </is>
      </c>
      <c r="C46" s="2" t="inlineStr">
        <is>
          <t>5. Frontend</t>
        </is>
      </c>
      <c r="D46" s="2" t="inlineStr">
        <is>
          <t>Funcionalidad nueva</t>
        </is>
      </c>
      <c r="E46" s="2" t="inlineStr">
        <is>
          <t>4 · Normal</t>
        </is>
      </c>
      <c r="F46" s="5" t="inlineStr">
        <is>
          <t>Contexto exam_id opcional en el chat del tutor</t>
        </is>
      </c>
      <c r="G46" s="2" t="n"/>
      <c r="H46" s="2" t="n"/>
      <c r="I46" s="2" t="n"/>
      <c r="J46" s="2" t="inlineStr">
        <is>
          <t>Pendiente</t>
        </is>
      </c>
      <c r="K46" s="8" t="n"/>
      <c r="L46" s="2" t="n"/>
    </row>
    <row r="47">
      <c r="A47" s="2" t="inlineStr">
        <is>
          <t>F10</t>
        </is>
      </c>
      <c r="B47" s="2" t="inlineStr">
        <is>
          <t>Tarea</t>
        </is>
      </c>
      <c r="C47" s="2" t="inlineStr">
        <is>
          <t>5. Frontend</t>
        </is>
      </c>
      <c r="D47" s="2" t="inlineStr">
        <is>
          <t>Adaptaciones a cambios que rompen</t>
        </is>
      </c>
      <c r="E47" s="2" t="inlineStr">
        <is>
          <t>1 · Alta</t>
        </is>
      </c>
      <c r="F47" s="5" t="inlineStr">
        <is>
          <t>Publicar/activar exámenes con PATCH /exams/{id}/status</t>
        </is>
      </c>
      <c r="G47" s="2" t="inlineStr">
        <is>
          <t>• sin esto ningún examen sale de draft</t>
        </is>
      </c>
      <c r="H47" s="2" t="n"/>
      <c r="I47" s="2" t="n"/>
      <c r="J47" s="2" t="inlineStr">
        <is>
          <t>Pendiente</t>
        </is>
      </c>
      <c r="K47" s="8" t="n"/>
      <c r="L47" s="2" t="n"/>
    </row>
    <row r="48">
      <c r="A48" s="2" t="inlineStr">
        <is>
          <t>F11</t>
        </is>
      </c>
      <c r="B48" s="2" t="inlineStr">
        <is>
          <t>Tarea</t>
        </is>
      </c>
      <c r="C48" s="2" t="inlineStr">
        <is>
          <t>5. Frontend</t>
        </is>
      </c>
      <c r="D48" s="2" t="inlineStr">
        <is>
          <t>Adaptaciones a cambios que rompen</t>
        </is>
      </c>
      <c r="E48" s="2" t="inlineStr">
        <is>
          <t>1 · Alta</t>
        </is>
      </c>
      <c r="F48" s="5" t="inlineStr">
        <is>
          <t>Vista del alumno con GET /students/me/available-exams</t>
        </is>
      </c>
      <c r="G48" s="2" t="inlineStr">
        <is>
          <t>• en vez de GET /exams</t>
        </is>
      </c>
      <c r="H48" s="2" t="n"/>
      <c r="I48" s="2" t="n"/>
      <c r="J48" s="2" t="inlineStr">
        <is>
          <t>Pendiente</t>
        </is>
      </c>
      <c r="K48" s="8" t="n"/>
      <c r="L48" s="2" t="n"/>
    </row>
    <row r="49">
      <c r="A49" s="2" t="inlineStr">
        <is>
          <t>F12</t>
        </is>
      </c>
      <c r="B49" s="2" t="inlineStr">
        <is>
          <t>Tarea</t>
        </is>
      </c>
      <c r="C49" s="2" t="inlineStr">
        <is>
          <t>5. Frontend</t>
        </is>
      </c>
      <c r="D49" s="2" t="inlineStr">
        <is>
          <t>Adaptaciones a cambios que rompen</t>
        </is>
      </c>
      <c r="E49" s="2" t="inlineStr">
        <is>
          <t>1 · Alta</t>
        </is>
      </c>
      <c r="F49" s="5" t="inlineStr">
        <is>
          <t>Docente acotado a sus grupos asignados</t>
        </is>
      </c>
      <c r="G49" s="2" t="n"/>
      <c r="H49" s="2" t="n"/>
      <c r="I49" s="2" t="n"/>
      <c r="J49" s="2" t="inlineStr">
        <is>
          <t>Pendiente</t>
        </is>
      </c>
      <c r="K49" s="8" t="n"/>
      <c r="L49" s="2" t="n"/>
    </row>
    <row r="50">
      <c r="A50" s="3" t="inlineStr">
        <is>
          <t>F12.1</t>
        </is>
      </c>
      <c r="B50" s="3" t="inlineStr">
        <is>
          <t>Subtarea</t>
        </is>
      </c>
      <c r="C50" s="3" t="inlineStr">
        <is>
          <t>5. Frontend</t>
        </is>
      </c>
      <c r="D50" s="3" t="inlineStr">
        <is>
          <t>Adaptaciones a cambios que rompen</t>
        </is>
      </c>
      <c r="E50" s="3" t="inlineStr">
        <is>
          <t>1 · Alta</t>
        </is>
      </c>
      <c r="F50" s="6" t="inlineStr">
        <is>
          <t>GET /students, GET /groups e informes devuelven solo lo asignado (403 fuera)</t>
        </is>
      </c>
      <c r="G50" s="3" t="n"/>
      <c r="H50" s="3" t="n"/>
      <c r="I50" s="3" t="n"/>
      <c r="J50" s="3" t="inlineStr">
        <is>
          <t>Pendiente</t>
        </is>
      </c>
      <c r="K50" s="9" t="n"/>
      <c r="L50" s="3" t="n"/>
    </row>
    <row r="51">
      <c r="A51" s="3" t="inlineStr">
        <is>
          <t>F12.2</t>
        </is>
      </c>
      <c r="B51" s="3" t="inlineStr">
        <is>
          <t>Subtarea</t>
        </is>
      </c>
      <c r="C51" s="3" t="inlineStr">
        <is>
          <t>5. Frontend</t>
        </is>
      </c>
      <c r="D51" s="3" t="inlineStr">
        <is>
          <t>Adaptaciones a cambios que rompen</t>
        </is>
      </c>
      <c r="E51" s="3" t="inlineStr">
        <is>
          <t>1 · Alta</t>
        </is>
      </c>
      <c r="F51" s="6" t="inlineStr">
        <is>
          <t>POST/DELETE /groups/{id}/students pasó a admin-only</t>
        </is>
      </c>
      <c r="G51" s="3" t="n"/>
      <c r="H51" s="3" t="n"/>
      <c r="I51" s="3" t="n"/>
      <c r="J51" s="3" t="inlineStr">
        <is>
          <t>Pendiente</t>
        </is>
      </c>
      <c r="K51" s="9" t="n"/>
      <c r="L51" s="3" t="n"/>
    </row>
    <row r="52">
      <c r="A52" s="3" t="inlineStr">
        <is>
          <t>F12.3</t>
        </is>
      </c>
      <c r="B52" s="3" t="inlineStr">
        <is>
          <t>Subtarea</t>
        </is>
      </c>
      <c r="C52" s="3" t="inlineStr">
        <is>
          <t>5. Frontend</t>
        </is>
      </c>
      <c r="D52" s="3" t="inlineStr">
        <is>
          <t>Adaptaciones a cambios que rompen</t>
        </is>
      </c>
      <c r="E52" s="3" t="inlineStr">
        <is>
          <t>1 · Alta</t>
        </is>
      </c>
      <c r="F52" s="6" t="inlineStr">
        <is>
          <t>Crear examen con grupo no asignado → 403 con grupos_no_asignados</t>
        </is>
      </c>
      <c r="G52" s="3" t="n"/>
      <c r="H52" s="3" t="n"/>
      <c r="I52" s="3" t="n"/>
      <c r="J52" s="3" t="inlineStr">
        <is>
          <t>Pendiente</t>
        </is>
      </c>
      <c r="K52" s="9" t="n"/>
      <c r="L52" s="3" t="n"/>
    </row>
    <row r="53">
      <c r="A53" s="2" t="inlineStr">
        <is>
          <t>F13</t>
        </is>
      </c>
      <c r="B53" s="2" t="inlineStr">
        <is>
          <t>Tarea</t>
        </is>
      </c>
      <c r="C53" s="2" t="inlineStr">
        <is>
          <t>5. Frontend</t>
        </is>
      </c>
      <c r="D53" s="2" t="inlineStr">
        <is>
          <t>Adaptaciones a cambios que rompen</t>
        </is>
      </c>
      <c r="E53" s="2" t="inlineStr">
        <is>
          <t>4 · Normal</t>
        </is>
      </c>
      <c r="F53" s="5" t="inlineStr">
        <is>
          <t>Admin sin acceso a /api/institutions</t>
        </is>
      </c>
      <c r="G53" s="2" t="inlineStr">
        <is>
          <t>• → leer su institución por GET /api/system/config</t>
        </is>
      </c>
      <c r="H53" s="2" t="n"/>
      <c r="I53" s="2" t="n"/>
      <c r="J53" s="2" t="inlineStr">
        <is>
          <t>Pendiente</t>
        </is>
      </c>
      <c r="K53" s="8" t="n"/>
      <c r="L53" s="2" t="n"/>
    </row>
    <row r="54">
      <c r="A54" s="2" t="inlineStr">
        <is>
          <t>F14</t>
        </is>
      </c>
      <c r="B54" s="2" t="inlineStr">
        <is>
          <t>Tarea</t>
        </is>
      </c>
      <c r="C54" s="2" t="inlineStr">
        <is>
          <t>5. Frontend</t>
        </is>
      </c>
      <c r="D54" s="2" t="inlineStr">
        <is>
          <t>Adaptaciones a cambios que rompen</t>
        </is>
      </c>
      <c r="E54" s="2" t="inlineStr">
        <is>
          <t>4 · Normal</t>
        </is>
      </c>
      <c r="F54" s="5" t="inlineStr">
        <is>
          <t>Plantilla de carga masiva nueva</t>
        </is>
      </c>
      <c r="G54" s="2" t="inlineStr">
        <is>
          <t>• columna aula obligatoria; fuera grade, section, group_code. Bajarla de /api/students/bulk-upload/template</t>
        </is>
      </c>
      <c r="H54" s="2" t="n"/>
      <c r="I54" s="2" t="n"/>
      <c r="J54" s="2" t="inlineStr">
        <is>
          <t>Pendiente</t>
        </is>
      </c>
      <c r="K54" s="8" t="n"/>
      <c r="L54" s="2" t="n"/>
    </row>
    <row r="55">
      <c r="A55" s="2" t="inlineStr">
        <is>
          <t>F15</t>
        </is>
      </c>
      <c r="B55" s="2" t="inlineStr">
        <is>
          <t>Tarea</t>
        </is>
      </c>
      <c r="C55" s="2" t="inlineStr">
        <is>
          <t>5. Frontend</t>
        </is>
      </c>
      <c r="D55" s="2" t="inlineStr">
        <is>
          <t>Adaptaciones a cambios que rompen</t>
        </is>
      </c>
      <c r="E55" s="2" t="inlineStr">
        <is>
          <t>4 · Normal</t>
        </is>
      </c>
      <c r="F55" s="5" t="inlineStr">
        <is>
          <t>Cuentas de carga masiva nacen inactivas</t>
        </is>
      </c>
      <c r="G55" s="2" t="inlineStr">
        <is>
          <t>• hasta que el dueño define su contraseña</t>
        </is>
      </c>
      <c r="H55" s="2" t="n"/>
      <c r="I55" s="2" t="n"/>
      <c r="J55" s="2" t="inlineStr">
        <is>
          <t>Pendiente</t>
        </is>
      </c>
      <c r="K55" s="8" t="n"/>
      <c r="L55" s="2" t="n"/>
    </row>
    <row r="56">
      <c r="A56" s="2" t="inlineStr">
        <is>
          <t>F16</t>
        </is>
      </c>
      <c r="B56" s="2" t="inlineStr">
        <is>
          <t>Tarea</t>
        </is>
      </c>
      <c r="C56" s="2" t="inlineStr">
        <is>
          <t>5. Frontend</t>
        </is>
      </c>
      <c r="D56" s="2" t="inlineStr">
        <is>
          <t>Adaptaciones a cambios que rompen</t>
        </is>
      </c>
      <c r="E56" s="2" t="inlineStr">
        <is>
          <t>4 · Normal</t>
        </is>
      </c>
      <c r="F56" s="5" t="inlineStr">
        <is>
          <t>GET /ai-recommendations ya no lista al docente las de exámenes ajenos</t>
        </is>
      </c>
      <c r="G56" s="2" t="n"/>
      <c r="H56" s="2" t="n"/>
      <c r="I56" s="2" t="n"/>
      <c r="J56" s="2" t="inlineStr">
        <is>
          <t>Pendiente</t>
        </is>
      </c>
      <c r="K56" s="8" t="n"/>
      <c r="L56" s="2" t="n"/>
    </row>
    <row r="57">
      <c r="A57" s="2" t="inlineStr">
        <is>
          <t>I-1</t>
        </is>
      </c>
      <c r="B57" s="2" t="inlineStr">
        <is>
          <t>Tarea</t>
        </is>
      </c>
      <c r="C57" s="2" t="inlineStr">
        <is>
          <t>6. Informe del TFG</t>
        </is>
      </c>
      <c r="D57" s="2" t="inlineStr">
        <is>
          <t>Correcciones críticas</t>
        </is>
      </c>
      <c r="E57" s="2" t="inlineStr">
        <is>
          <t>1 · Alta</t>
        </is>
      </c>
      <c r="F57" s="5" t="inlineStr">
        <is>
          <t>Stack tecnológico</t>
        </is>
      </c>
      <c r="G57" s="2" t="inlineStr">
        <is>
          <t>• ANALISIS_MODELO_DATOS_TFG.md §9.1</t>
        </is>
      </c>
      <c r="H57" s="2" t="n"/>
      <c r="I57" s="2" t="n"/>
      <c r="J57" s="2" t="inlineStr">
        <is>
          <t>Pendiente</t>
        </is>
      </c>
      <c r="K57" s="8" t="n"/>
      <c r="L57" s="2" t="n"/>
    </row>
    <row r="58">
      <c r="A58" s="3" t="inlineStr">
        <is>
          <t>I-1.1</t>
        </is>
      </c>
      <c r="B58" s="3" t="inlineStr">
        <is>
          <t>Subtarea</t>
        </is>
      </c>
      <c r="C58" s="3" t="inlineStr">
        <is>
          <t>6. Informe del TFG</t>
        </is>
      </c>
      <c r="D58" s="3" t="inlineStr">
        <is>
          <t>Correcciones críticas</t>
        </is>
      </c>
      <c r="E58" s="3" t="inlineStr">
        <is>
          <t>1 · Alta</t>
        </is>
      </c>
      <c r="F58" s="6" t="inlineStr">
        <is>
          <t>Quitar Node.js como capa de datos intermediaria</t>
        </is>
      </c>
      <c r="G58" s="3" t="n"/>
      <c r="H58" s="3" t="n"/>
      <c r="I58" s="3" t="n"/>
      <c r="J58" s="3" t="inlineStr">
        <is>
          <t>Pendiente</t>
        </is>
      </c>
      <c r="K58" s="9" t="n"/>
      <c r="L58" s="3" t="n"/>
    </row>
    <row r="59">
      <c r="A59" s="3" t="inlineStr">
        <is>
          <t>I-1.2</t>
        </is>
      </c>
      <c r="B59" s="3" t="inlineStr">
        <is>
          <t>Subtarea</t>
        </is>
      </c>
      <c r="C59" s="3" t="inlineStr">
        <is>
          <t>6. Informe del TFG</t>
        </is>
      </c>
      <c r="D59" s="3" t="inlineStr">
        <is>
          <t>Correcciones críticas</t>
        </is>
      </c>
      <c r="E59" s="3" t="inlineStr">
        <is>
          <t>1 · Alta</t>
        </is>
      </c>
      <c r="F59" s="6" t="inlineStr">
        <is>
          <t>Quitar Next.js → React 19 + Vite + TypeScript</t>
        </is>
      </c>
      <c r="G59" s="3" t="n"/>
      <c r="H59" s="3" t="n"/>
      <c r="I59" s="3" t="n"/>
      <c r="J59" s="3" t="inlineStr">
        <is>
          <t>Pendiente</t>
        </is>
      </c>
      <c r="K59" s="9" t="n"/>
      <c r="L59" s="3" t="n"/>
    </row>
    <row r="60">
      <c r="A60" s="3" t="inlineStr">
        <is>
          <t>I-1.3</t>
        </is>
      </c>
      <c r="B60" s="3" t="inlineStr">
        <is>
          <t>Subtarea</t>
        </is>
      </c>
      <c r="C60" s="3" t="inlineStr">
        <is>
          <t>6. Informe del TFG</t>
        </is>
      </c>
      <c r="D60" s="3" t="inlineStr">
        <is>
          <t>Correcciones críticas</t>
        </is>
      </c>
      <c r="E60" s="3" t="inlineStr">
        <is>
          <t>1 · Alta</t>
        </is>
      </c>
      <c r="F60" s="6" t="inlineStr">
        <is>
          <t>JWT → Laravel Sanctum</t>
        </is>
      </c>
      <c r="G60" s="3" t="n"/>
      <c r="H60" s="3" t="n"/>
      <c r="I60" s="3" t="n"/>
      <c r="J60" s="3" t="inlineStr">
        <is>
          <t>Pendiente</t>
        </is>
      </c>
      <c r="K60" s="9" t="n"/>
      <c r="L60" s="3" t="n"/>
    </row>
    <row r="61">
      <c r="A61" s="3" t="inlineStr">
        <is>
          <t>I-1.4</t>
        </is>
      </c>
      <c r="B61" s="3" t="inlineStr">
        <is>
          <t>Subtarea</t>
        </is>
      </c>
      <c r="C61" s="3" t="inlineStr">
        <is>
          <t>6. Informe del TFG</t>
        </is>
      </c>
      <c r="D61" s="3" t="inlineStr">
        <is>
          <t>Correcciones críticas</t>
        </is>
      </c>
      <c r="E61" s="3" t="inlineStr">
        <is>
          <t>1 · Alta</t>
        </is>
      </c>
      <c r="F61" s="6" t="inlineStr">
        <is>
          <t>Render/Railway → DigitalOcean + Coolify + Supabase</t>
        </is>
      </c>
      <c r="G61" s="3" t="n"/>
      <c r="H61" s="3" t="n"/>
      <c r="I61" s="3" t="n"/>
      <c r="J61" s="3" t="inlineStr">
        <is>
          <t>Pendiente</t>
        </is>
      </c>
      <c r="K61" s="9" t="n"/>
      <c r="L61" s="3" t="n"/>
    </row>
    <row r="62">
      <c r="A62" s="2" t="inlineStr">
        <is>
          <t>I-2</t>
        </is>
      </c>
      <c r="B62" s="2" t="inlineStr">
        <is>
          <t>Tarea</t>
        </is>
      </c>
      <c r="C62" s="2" t="inlineStr">
        <is>
          <t>6. Informe del TFG</t>
        </is>
      </c>
      <c r="D62" s="2" t="inlineStr">
        <is>
          <t>Correcciones críticas</t>
        </is>
      </c>
      <c r="E62" s="2" t="inlineStr">
        <is>
          <t>1 · Alta</t>
        </is>
      </c>
      <c r="F62" s="5" t="inlineStr">
        <is>
          <t>Relación docente↔estudiante vía teacher_assignments</t>
        </is>
      </c>
      <c r="G62" s="2" t="inlineStr">
        <is>
          <t>• (§9.8.5)</t>
        </is>
      </c>
      <c r="H62" s="2" t="n"/>
      <c r="I62" s="2" t="n"/>
      <c r="J62" s="2" t="inlineStr">
        <is>
          <t>Pendiente</t>
        </is>
      </c>
      <c r="K62" s="8" t="n"/>
      <c r="L62" s="2" t="n"/>
    </row>
    <row r="63">
      <c r="A63" s="2" t="inlineStr">
        <is>
          <t>I-3</t>
        </is>
      </c>
      <c r="B63" s="2" t="inlineStr">
        <is>
          <t>Tarea</t>
        </is>
      </c>
      <c r="C63" s="2" t="inlineStr">
        <is>
          <t>6. Informe del TFG</t>
        </is>
      </c>
      <c r="D63" s="2" t="inlineStr">
        <is>
          <t>Correcciones críticas</t>
        </is>
      </c>
      <c r="E63" s="2" t="inlineStr">
        <is>
          <t>1 · Alta</t>
        </is>
      </c>
      <c r="F63" s="5" t="inlineStr">
        <is>
          <t>Capítulo del tutor</t>
        </is>
      </c>
      <c r="G63" s="2" t="inlineStr">
        <is>
          <t>• según D1</t>
        </is>
      </c>
      <c r="H63" s="2" t="inlineStr">
        <is>
          <t>D1</t>
        </is>
      </c>
      <c r="I63" s="2" t="n"/>
      <c r="J63" s="2" t="inlineStr">
        <is>
          <t>Pendiente</t>
        </is>
      </c>
      <c r="K63" s="8" t="n"/>
      <c r="L63" s="2" t="inlineStr">
        <is>
          <t>D1 cerrada por codigo: el capitulo puede describir el sistema tal cual, sin recortar la promesa.</t>
        </is>
      </c>
    </row>
    <row r="64">
      <c r="A64" s="2" t="inlineStr">
        <is>
          <t>I-4</t>
        </is>
      </c>
      <c r="B64" s="2" t="inlineStr">
        <is>
          <t>Tarea</t>
        </is>
      </c>
      <c r="C64" s="2" t="inlineStr">
        <is>
          <t>6. Informe del TFG</t>
        </is>
      </c>
      <c r="D64" s="2" t="inlineStr">
        <is>
          <t>Modelo de datos y diagramas</t>
        </is>
      </c>
      <c r="E64" s="2" t="inlineStr">
        <is>
          <t>2 · Media</t>
        </is>
      </c>
      <c r="F64" s="5" t="inlineStr">
        <is>
          <t>Incorporar al .docx los 16 diagramas de DIAGRAMAS.md</t>
        </is>
      </c>
      <c r="G64" s="2" t="inlineStr">
        <is>
          <t>• (su tabla final dice qué figura sustituye cada uno)</t>
        </is>
      </c>
      <c r="H64" s="2" t="n"/>
      <c r="I64" s="2" t="n"/>
      <c r="J64" s="2" t="inlineStr">
        <is>
          <t>Pendiente</t>
        </is>
      </c>
      <c r="K64" s="8" t="n"/>
      <c r="L64" s="2" t="n"/>
    </row>
    <row r="65">
      <c r="A65" s="2" t="inlineStr">
        <is>
          <t>I-5</t>
        </is>
      </c>
      <c r="B65" s="2" t="inlineStr">
        <is>
          <t>Tarea</t>
        </is>
      </c>
      <c r="C65" s="2" t="inlineStr">
        <is>
          <t>6. Informe del TFG</t>
        </is>
      </c>
      <c r="D65" s="2" t="inlineStr">
        <is>
          <t>Modelo de datos y diagramas</t>
        </is>
      </c>
      <c r="E65" s="2" t="inlineStr">
        <is>
          <t>2 · Media</t>
        </is>
      </c>
      <c r="F65" s="5" t="inlineStr">
        <is>
          <t>Diccionario de datos</t>
        </is>
      </c>
      <c r="G65" s="2" t="inlineStr">
        <is>
          <t>• (56 FK, 21 tablas de dominio = 17 entidades + 4 pivotes — cifras al 03/10/2026)</t>
        </is>
      </c>
      <c r="H65" s="2" t="n"/>
      <c r="I65" s="2" t="n"/>
      <c r="J65" s="2" t="inlineStr">
        <is>
          <t>Pendiente</t>
        </is>
      </c>
      <c r="K65" s="8" t="n"/>
      <c r="L65" s="2" t="n"/>
    </row>
    <row r="66">
      <c r="A66" s="2" t="inlineStr">
        <is>
          <t>I-6</t>
        </is>
      </c>
      <c r="B66" s="2" t="inlineStr">
        <is>
          <t>Tarea</t>
        </is>
      </c>
      <c r="C66" s="2" t="inlineStr">
        <is>
          <t>6. Informe del TFG</t>
        </is>
      </c>
      <c r="D66" s="2" t="inlineStr">
        <is>
          <t>Modelo de datos y diagramas</t>
        </is>
      </c>
      <c r="E66" s="2" t="inlineStr">
        <is>
          <t>2 · Media</t>
        </is>
      </c>
      <c r="F66" s="5" t="inlineStr">
        <is>
          <t>Añadir AiChatSession, StudentSubject, TeacherAssignment y AiTutorIncident al diagrama de clases</t>
        </is>
      </c>
      <c r="G66" s="2" t="n"/>
      <c r="H66" s="2" t="n"/>
      <c r="I66" s="2" t="n"/>
      <c r="J66" s="2" t="inlineStr">
        <is>
          <t>Pendiente</t>
        </is>
      </c>
      <c r="K66" s="8" t="n"/>
      <c r="L66" s="2" t="n"/>
    </row>
    <row r="67">
      <c r="A67" s="2" t="inlineStr">
        <is>
          <t>I-7</t>
        </is>
      </c>
      <c r="B67" s="2" t="inlineStr">
        <is>
          <t>Tarea</t>
        </is>
      </c>
      <c r="C67" s="2" t="inlineStr">
        <is>
          <t>6. Informe del TFG</t>
        </is>
      </c>
      <c r="D67" s="2" t="inlineStr">
        <is>
          <t>Modelo de datos y diagramas</t>
        </is>
      </c>
      <c r="E67" s="2" t="inlineStr">
        <is>
          <t>2 · Media</t>
        </is>
      </c>
      <c r="F67" s="5" t="inlineStr">
        <is>
          <t>Nombrar los 4 roles reales</t>
        </is>
      </c>
      <c r="G67" s="2" t="inlineStr">
        <is>
          <t>• (superadmin, admin, teacher, student) y la frontera superadmin/admin (§9.6)</t>
        </is>
      </c>
      <c r="H67" s="2" t="n"/>
      <c r="I67" s="2" t="n"/>
      <c r="J67" s="2" t="inlineStr">
        <is>
          <t>Pendiente</t>
        </is>
      </c>
      <c r="K67" s="8" t="n"/>
      <c r="L67" s="2" t="n"/>
    </row>
    <row r="68">
      <c r="A68" s="2" t="inlineStr">
        <is>
          <t>I-8</t>
        </is>
      </c>
      <c r="B68" s="2" t="inlineStr">
        <is>
          <t>Tarea</t>
        </is>
      </c>
      <c r="C68" s="2" t="inlineStr">
        <is>
          <t>6. Informe del TFG</t>
        </is>
      </c>
      <c r="D68" s="2" t="inlineStr">
        <is>
          <t>Modelo de datos y diagramas</t>
        </is>
      </c>
      <c r="E68" s="2" t="inlineStr">
        <is>
          <t>3 · Media-baja</t>
        </is>
      </c>
      <c r="F68" s="5" t="inlineStr">
        <is>
          <t>Justificar las 2 decisiones de diseño</t>
        </is>
      </c>
      <c r="G68" s="2" t="inlineStr">
        <is>
          <t>• de §4</t>
        </is>
      </c>
      <c r="H68" s="2" t="n"/>
      <c r="I68" s="2" t="n"/>
      <c r="J68" s="2" t="inlineStr">
        <is>
          <t>Pendiente</t>
        </is>
      </c>
      <c r="K68" s="8" t="n"/>
      <c r="L68" s="2" t="n"/>
    </row>
    <row r="69">
      <c r="A69" s="2" t="inlineStr">
        <is>
          <t>I-9</t>
        </is>
      </c>
      <c r="B69" s="2" t="inlineStr">
        <is>
          <t>Tarea</t>
        </is>
      </c>
      <c r="C69" s="2" t="inlineStr">
        <is>
          <t>6. Informe del TFG</t>
        </is>
      </c>
      <c r="D69" s="2" t="inlineStr">
        <is>
          <t>Requisitos no funcionales</t>
        </is>
      </c>
      <c r="E69" s="2" t="inlineStr">
        <is>
          <t>3 · Media-baja</t>
        </is>
      </c>
      <c r="F69" s="5" t="inlineStr">
        <is>
          <t>Rendimiento:</t>
        </is>
      </c>
      <c r="G69" s="2" t="inlineStr">
        <is>
          <t>• ≤2 s y reporte de 1.000 en &lt;5 s están medidos; «200 concurrentes» según M3</t>
        </is>
      </c>
      <c r="H69" s="2" t="inlineStr">
        <is>
          <t>M3</t>
        </is>
      </c>
      <c r="I69" s="2" t="n"/>
      <c r="J69" s="2" t="inlineStr">
        <is>
          <t>Pendiente</t>
        </is>
      </c>
      <c r="K69" s="8" t="n"/>
      <c r="L69" s="2" t="n"/>
    </row>
    <row r="70">
      <c r="A70" s="2" t="inlineStr">
        <is>
          <t>I-10</t>
        </is>
      </c>
      <c r="B70" s="2" t="inlineStr">
        <is>
          <t>Tarea</t>
        </is>
      </c>
      <c r="C70" s="2" t="inlineStr">
        <is>
          <t>6. Informe del TFG</t>
        </is>
      </c>
      <c r="D70" s="2" t="inlineStr">
        <is>
          <t>Requisitos no funcionales</t>
        </is>
      </c>
      <c r="E70" s="2" t="inlineStr">
        <is>
          <t>4 · Normal</t>
        </is>
      </c>
      <c r="F70" s="5" t="inlineStr">
        <is>
          <t>Disponibilidad 99 %:</t>
        </is>
      </c>
      <c r="G70" s="2" t="inlineStr">
        <is>
          <t>• declarar que no se sostiene solo con la aplicación (requiere P4)</t>
        </is>
      </c>
      <c r="H70" s="2" t="inlineStr">
        <is>
          <t>P4</t>
        </is>
      </c>
      <c r="I70" s="2" t="n"/>
      <c r="J70" s="2" t="inlineStr">
        <is>
          <t>Pendiente</t>
        </is>
      </c>
      <c r="K70" s="8" t="n"/>
      <c r="L70" s="2" t="n"/>
    </row>
    <row r="71">
      <c r="A71" s="2" t="inlineStr">
        <is>
          <t>I-11</t>
        </is>
      </c>
      <c r="B71" s="2" t="inlineStr">
        <is>
          <t>Tarea</t>
        </is>
      </c>
      <c r="C71" s="2" t="inlineStr">
        <is>
          <t>6. Informe del TFG</t>
        </is>
      </c>
      <c r="D71" s="2" t="inlineStr">
        <is>
          <t>Requisitos no funcionales</t>
        </is>
      </c>
      <c r="E71" s="2" t="inlineStr">
        <is>
          <t>4 · Normal</t>
        </is>
      </c>
      <c r="F71" s="5" t="inlineStr">
        <is>
          <t>Expiración de sesión</t>
        </is>
      </c>
      <c r="G71" s="2" t="inlineStr">
        <is>
          <t>• según D3</t>
        </is>
      </c>
      <c r="H71" s="2" t="inlineStr">
        <is>
          <t>D3</t>
        </is>
      </c>
      <c r="I71" s="2" t="n"/>
      <c r="J71" s="2" t="inlineStr">
        <is>
          <t>Pendiente</t>
        </is>
      </c>
      <c r="K71" s="8" t="n"/>
      <c r="L71" s="2" t="inlineStr">
        <is>
          <t>Se cumple [758] desde D3. Explicar que es inactividad y no expiracion absoluta, y por que.</t>
        </is>
      </c>
    </row>
    <row r="72">
      <c r="A72" s="2" t="inlineStr">
        <is>
          <t>C1</t>
        </is>
      </c>
      <c r="B72" s="2" t="inlineStr">
        <is>
          <t>Tarea</t>
        </is>
      </c>
      <c r="C72" s="2" t="inlineStr">
        <is>
          <t>6. Informe del TFG</t>
        </is>
      </c>
      <c r="D72" s="2" t="inlineStr">
        <is>
          <t>Contradicciones internas — §10.1</t>
        </is>
      </c>
      <c r="E72" s="2" t="inlineStr">
        <is>
          <t>4 · Normal</t>
        </is>
      </c>
      <c r="F72" s="5" t="inlineStr">
        <is>
          <t>Tutor «a estudiantes y docentes» [165][505] vs. docente sin mensajes individuales [173]</t>
        </is>
      </c>
      <c r="G72" s="2" t="n"/>
      <c r="H72" s="2" t="n"/>
      <c r="I72" s="2" t="n"/>
      <c r="J72" s="2" t="inlineStr">
        <is>
          <t>Pendiente</t>
        </is>
      </c>
      <c r="K72" s="8" t="n"/>
      <c r="L72" s="2" t="n"/>
    </row>
    <row r="73">
      <c r="A73" s="2" t="inlineStr">
        <is>
          <t>C2</t>
        </is>
      </c>
      <c r="B73" s="2" t="inlineStr">
        <is>
          <t>Tarea</t>
        </is>
      </c>
      <c r="C73" s="2" t="inlineStr">
        <is>
          <t>6. Informe del TFG</t>
        </is>
      </c>
      <c r="D73" s="2" t="inlineStr">
        <is>
          <t>Contradicciones internas — §10.1</t>
        </is>
      </c>
      <c r="E73" s="2" t="inlineStr">
        <is>
          <t>4 · Normal</t>
        </is>
      </c>
      <c r="F73" s="5" t="inlineStr">
        <is>
          <t>Revisión periódica docente del contenido [396] vs. docente no ve mensajes [173]</t>
        </is>
      </c>
      <c r="G73" s="2" t="n"/>
      <c r="H73" s="2" t="n"/>
      <c r="I73" s="2" t="n"/>
      <c r="J73" s="2" t="inlineStr">
        <is>
          <t>Pendiente</t>
        </is>
      </c>
      <c r="K73" s="8" t="n"/>
      <c r="L73" s="2" t="n"/>
    </row>
    <row r="74">
      <c r="A74" s="2" t="inlineStr">
        <is>
          <t>C3</t>
        </is>
      </c>
      <c r="B74" s="2" t="inlineStr">
        <is>
          <t>Tarea</t>
        </is>
      </c>
      <c r="C74" s="2" t="inlineStr">
        <is>
          <t>6. Informe del TFG</t>
        </is>
      </c>
      <c r="D74" s="2" t="inlineStr">
        <is>
          <t>Contradicciones internas — §10.1</t>
        </is>
      </c>
      <c r="E74" s="2" t="inlineStr">
        <is>
          <t>4 · Normal</t>
        </is>
      </c>
      <c r="F74" s="5" t="inlineStr">
        <is>
          <t>Recomendaciones por estudiante [737][739] vs. [173] — reformular como *conversación vs. recomendación*</t>
        </is>
      </c>
      <c r="G74" s="2" t="n"/>
      <c r="H74" s="2" t="n"/>
      <c r="I74" s="2" t="n"/>
      <c r="J74" s="2" t="inlineStr">
        <is>
          <t>Pendiente</t>
        </is>
      </c>
      <c r="K74" s="8" t="n"/>
      <c r="L74" s="2" t="n"/>
    </row>
    <row r="75">
      <c r="A75" s="2" t="inlineStr">
        <is>
          <t>C4</t>
        </is>
      </c>
      <c r="B75" s="2" t="inlineStr">
        <is>
          <t>Tarea</t>
        </is>
      </c>
      <c r="C75" s="2" t="inlineStr">
        <is>
          <t>6. Informe del TFG</t>
        </is>
      </c>
      <c r="D75" s="2" t="inlineStr">
        <is>
          <t>Contradicciones internas — §10.1</t>
        </is>
      </c>
      <c r="E75" s="2" t="inlineStr">
        <is>
          <t>4 · Normal</t>
        </is>
      </c>
      <c r="F75" s="5" t="inlineStr">
        <is>
          <t>React+Next.js [225][804] vs. React+TS sin SSR [296-297][417-418]</t>
        </is>
      </c>
      <c r="G75" s="2" t="n"/>
      <c r="H75" s="2" t="n"/>
      <c r="I75" s="2" t="n"/>
      <c r="J75" s="2" t="inlineStr">
        <is>
          <t>Pendiente</t>
        </is>
      </c>
      <c r="K75" s="8" t="n"/>
      <c r="L75" s="2" t="n"/>
    </row>
    <row r="76">
      <c r="A76" s="2" t="inlineStr">
        <is>
          <t>C5</t>
        </is>
      </c>
      <c r="B76" s="2" t="inlineStr">
        <is>
          <t>Tarea</t>
        </is>
      </c>
      <c r="C76" s="2" t="inlineStr">
        <is>
          <t>6. Informe del TFG</t>
        </is>
      </c>
      <c r="D76" s="2" t="inlineStr">
        <is>
          <t>Contradicciones internas — §10.1</t>
        </is>
      </c>
      <c r="E76" s="2" t="inlineStr">
        <is>
          <t>4 · Normal</t>
        </is>
      </c>
      <c r="F76" s="5" t="inlineStr">
        <is>
          <t>Node.js intermediario [419-420] vs. Laravel+PostgreSQL [228-229][415-416]</t>
        </is>
      </c>
      <c r="G76" s="2" t="n"/>
      <c r="H76" s="2" t="n"/>
      <c r="I76" s="2" t="n"/>
      <c r="J76" s="2" t="inlineStr">
        <is>
          <t>Pendiente</t>
        </is>
      </c>
      <c r="K76" s="8" t="n"/>
      <c r="L76" s="2" t="n"/>
    </row>
    <row r="77">
      <c r="A77" s="2" t="inlineStr">
        <is>
          <t>C6</t>
        </is>
      </c>
      <c r="B77" s="2" t="inlineStr">
        <is>
          <t>Tarea</t>
        </is>
      </c>
      <c r="C77" s="2" t="inlineStr">
        <is>
          <t>6. Informe del TFG</t>
        </is>
      </c>
      <c r="D77" s="2" t="inlineStr">
        <is>
          <t>Contradicciones internas — §10.1</t>
        </is>
      </c>
      <c r="E77" s="2" t="inlineStr">
        <is>
          <t>4 · Normal</t>
        </is>
      </c>
      <c r="F77" s="5" t="inlineStr">
        <is>
          <t>«Genera PDF y CSV» en presente [236] vs. requisito pendiente [732]</t>
        </is>
      </c>
      <c r="G77" s="2" t="n"/>
      <c r="H77" s="2" t="n"/>
      <c r="I77" s="2" t="n"/>
      <c r="J77" s="2" t="inlineStr">
        <is>
          <t>Pendiente</t>
        </is>
      </c>
      <c r="K77" s="8" t="n"/>
      <c r="L77" s="2" t="n"/>
    </row>
    <row r="78">
      <c r="A78" s="2" t="inlineStr">
        <is>
          <t>C7</t>
        </is>
      </c>
      <c r="B78" s="2" t="inlineStr">
        <is>
          <t>Tarea</t>
        </is>
      </c>
      <c r="C78" s="2" t="inlineStr">
        <is>
          <t>6. Informe del TFG</t>
        </is>
      </c>
      <c r="D78" s="2" t="inlineStr">
        <is>
          <t>Contradicciones internas — §10.1</t>
        </is>
      </c>
      <c r="E78" s="2" t="inlineStr">
        <is>
          <t>4 · Normal</t>
        </is>
      </c>
      <c r="F78" s="5" t="inlineStr">
        <is>
          <t>«Se generó reportes en PDF» [390] vs. [732-733]</t>
        </is>
      </c>
      <c r="G78" s="2" t="n"/>
      <c r="H78" s="2" t="n"/>
      <c r="I78" s="2" t="n"/>
      <c r="J78" s="2" t="inlineStr">
        <is>
          <t>Pendiente</t>
        </is>
      </c>
      <c r="K78" s="8" t="n"/>
      <c r="L78" s="2" t="n"/>
    </row>
    <row r="79">
      <c r="A79" s="2" t="inlineStr">
        <is>
          <t>C8</t>
        </is>
      </c>
      <c r="B79" s="2" t="inlineStr">
        <is>
          <t>Tarea</t>
        </is>
      </c>
      <c r="C79" s="2" t="inlineStr">
        <is>
          <t>6. Informe del TFG</t>
        </is>
      </c>
      <c r="D79" s="2" t="inlineStr">
        <is>
          <t>Contradicciones internas — §10.1</t>
        </is>
      </c>
      <c r="E79" s="2" t="inlineStr">
        <is>
          <t>4 · Normal</t>
        </is>
      </c>
      <c r="F79" s="5" t="inlineStr">
        <is>
          <t>Criterio 75 % automático [173] vs. revisión humana [396]</t>
        </is>
      </c>
      <c r="G79" s="2" t="n"/>
      <c r="H79" s="2" t="n"/>
      <c r="I79" s="2" t="n"/>
      <c r="J79" s="2" t="inlineStr">
        <is>
          <t>Pendiente</t>
        </is>
      </c>
      <c r="K79" s="8" t="n"/>
      <c r="L79" s="2" t="inlineStr">
        <is>
          <t>El 75 % ya es medible (D5); queda decidir que dice el informe sobre la revision humana.</t>
        </is>
      </c>
    </row>
    <row r="80">
      <c r="A80" s="2" t="inlineStr">
        <is>
          <t>K1</t>
        </is>
      </c>
      <c r="B80" s="2" t="inlineStr">
        <is>
          <t>Tarea</t>
        </is>
      </c>
      <c r="C80" s="2" t="inlineStr">
        <is>
          <t>6. Informe del TFG</t>
        </is>
      </c>
      <c r="D80" s="2" t="inlineStr">
        <is>
          <t>Contradicciones con el sistema — §10.2</t>
        </is>
      </c>
      <c r="E80" s="2" t="inlineStr">
        <is>
          <t>4 · Normal</t>
        </is>
      </c>
      <c r="F80" s="5" t="inlineStr">
        <is>
          <t>Recomendaciones generadas por IA [122][222][255][737] → según D1</t>
        </is>
      </c>
      <c r="G80" s="2" t="n"/>
      <c r="H80" s="2" t="inlineStr">
        <is>
          <t>D1</t>
        </is>
      </c>
      <c r="I80" s="2" t="n"/>
      <c r="J80" s="2" t="inlineStr">
        <is>
          <t>Descartado</t>
        </is>
      </c>
      <c r="K80" s="8" t="n">
        <v>46278</v>
      </c>
      <c r="L80" s="2" t="inlineStr">
        <is>
          <t>Ya no es contradiccion: D1 se resolvio por codigo.</t>
        </is>
      </c>
    </row>
    <row r="81">
      <c r="A81" s="2" t="inlineStr">
        <is>
          <t>K2</t>
        </is>
      </c>
      <c r="B81" s="2" t="inlineStr">
        <is>
          <t>Tarea</t>
        </is>
      </c>
      <c r="C81" s="2" t="inlineStr">
        <is>
          <t>6. Informe del TFG</t>
        </is>
      </c>
      <c r="D81" s="2" t="inlineStr">
        <is>
          <t>Contradicciones con el sistema — §10.2</t>
        </is>
      </c>
      <c r="E81" s="2" t="inlineStr">
        <is>
          <t>4 · Normal</t>
        </is>
      </c>
      <c r="F81" s="5" t="inlineStr">
        <is>
          <t>Ítems con tema/indicador/dificultad [171][222] → según D2</t>
        </is>
      </c>
      <c r="G81" s="2" t="n"/>
      <c r="H81" s="2" t="inlineStr">
        <is>
          <t>D2</t>
        </is>
      </c>
      <c r="I81" s="2" t="n"/>
      <c r="J81" s="2" t="inlineStr">
        <is>
          <t>Descartado</t>
        </is>
      </c>
      <c r="K81" s="8" t="n">
        <v>46278</v>
      </c>
      <c r="L81" s="2" t="inlineStr">
        <is>
          <t>Las columnas existen (D2).</t>
        </is>
      </c>
    </row>
    <row r="82">
      <c r="A82" s="2" t="inlineStr">
        <is>
          <t>K3</t>
        </is>
      </c>
      <c r="B82" s="2" t="inlineStr">
        <is>
          <t>Tarea</t>
        </is>
      </c>
      <c r="C82" s="2" t="inlineStr">
        <is>
          <t>6. Informe del TFG</t>
        </is>
      </c>
      <c r="D82" s="2" t="inlineStr">
        <is>
          <t>Contradicciones con el sistema — §10.2</t>
        </is>
      </c>
      <c r="E82" s="2" t="inlineStr">
        <is>
          <t>4 · Normal</t>
        </is>
      </c>
      <c r="F82" s="5" t="inlineStr">
        <is>
          <t>Personalización por área concreta («comprensión de lectura») [263][276] → por materia</t>
        </is>
      </c>
      <c r="G82" s="2" t="n"/>
      <c r="H82" s="2" t="n"/>
      <c r="I82" s="2" t="n"/>
      <c r="J82" s="2" t="inlineStr">
        <is>
          <t>Descartado</t>
        </is>
      </c>
      <c r="K82" s="8" t="n">
        <v>46278</v>
      </c>
      <c r="L82" s="2" t="inlineStr">
        <is>
          <t>El diagnostico del tutor ya habla por tema (D2).</t>
        </is>
      </c>
    </row>
    <row r="83">
      <c r="A83" s="2" t="inlineStr">
        <is>
          <t>K4</t>
        </is>
      </c>
      <c r="B83" s="2" t="inlineStr">
        <is>
          <t>Tarea</t>
        </is>
      </c>
      <c r="C83" s="2" t="inlineStr">
        <is>
          <t>6. Informe del TFG</t>
        </is>
      </c>
      <c r="D83" s="2" t="inlineStr">
        <is>
          <t>Contradicciones con el sistema — §10.2</t>
        </is>
      </c>
      <c r="E83" s="2" t="inlineStr">
        <is>
          <t>4 · Normal</t>
        </is>
      </c>
      <c r="F83" s="5" t="inlineStr">
        <is>
          <t>«Recursos personalizados» (Figura 10) → por grado y dificultad, no por materia</t>
        </is>
      </c>
      <c r="G83" s="2" t="n"/>
      <c r="H83" s="2" t="n"/>
      <c r="I83" s="2" t="n"/>
      <c r="J83" s="2" t="inlineStr">
        <is>
          <t>Descartado</t>
        </is>
      </c>
      <c r="K83" s="8" t="n">
        <v>46278</v>
      </c>
      <c r="L83" s="2" t="inlineStr">
        <is>
          <t>El recurso sugerido se acota por materia, grado y dificultad (D2).</t>
        </is>
      </c>
    </row>
    <row r="84">
      <c r="A84" s="2" t="inlineStr">
        <is>
          <t>K5</t>
        </is>
      </c>
      <c r="B84" s="2" t="inlineStr">
        <is>
          <t>Tarea</t>
        </is>
      </c>
      <c r="C84" s="2" t="inlineStr">
        <is>
          <t>6. Informe del TFG</t>
        </is>
      </c>
      <c r="D84" s="2" t="inlineStr">
        <is>
          <t>Contradicciones con el sistema — §10.2</t>
        </is>
      </c>
      <c r="E84" s="2" t="inlineStr">
        <is>
          <t>4 · Normal</t>
        </is>
      </c>
      <c r="F84" s="5" t="inlineStr">
        <is>
          <t>Aviso de IA en cada intervención [397] → según D4</t>
        </is>
      </c>
      <c r="G84" s="2" t="n"/>
      <c r="H84" s="2" t="inlineStr">
        <is>
          <t>D4</t>
        </is>
      </c>
      <c r="I84" s="2" t="n"/>
      <c r="J84" s="2" t="inlineStr">
        <is>
          <t>Descartado</t>
        </is>
      </c>
      <c r="K84" s="8" t="n">
        <v>46278</v>
      </c>
      <c r="L84" s="2" t="inlineStr">
        <is>
          <t>El sistema envia el aviso en ai_notice (D4).</t>
        </is>
      </c>
    </row>
    <row r="85">
      <c r="A85" s="2" t="inlineStr">
        <is>
          <t>K6</t>
        </is>
      </c>
      <c r="B85" s="2" t="inlineStr">
        <is>
          <t>Tarea</t>
        </is>
      </c>
      <c r="C85" s="2" t="inlineStr">
        <is>
          <t>6. Informe del TFG</t>
        </is>
      </c>
      <c r="D85" s="2" t="inlineStr">
        <is>
          <t>Contradicciones con el sistema — §10.2</t>
        </is>
      </c>
      <c r="E85" s="2" t="inlineStr">
        <is>
          <t>4 · Normal</t>
        </is>
      </c>
      <c r="F85" s="5" t="inlineStr">
        <is>
          <t>«Registrará incidencias» / 75 % [173] → según D5</t>
        </is>
      </c>
      <c r="G85" s="2" t="n"/>
      <c r="H85" s="2" t="inlineStr">
        <is>
          <t>D5</t>
        </is>
      </c>
      <c r="I85" s="2" t="n"/>
      <c r="J85" s="2" t="inlineStr">
        <is>
          <t>Descartado</t>
        </is>
      </c>
      <c r="K85" s="8" t="n">
        <v>46278</v>
      </c>
      <c r="L85" s="2" t="inlineStr">
        <is>
          <t>Hay tabla de incidencias y el 75 % se calcula (D5).</t>
        </is>
      </c>
    </row>
    <row r="86">
      <c r="A86" s="2" t="inlineStr">
        <is>
          <t>K7</t>
        </is>
      </c>
      <c r="B86" s="2" t="inlineStr">
        <is>
          <t>Tarea</t>
        </is>
      </c>
      <c r="C86" s="2" t="inlineStr">
        <is>
          <t>6. Informe del TFG</t>
        </is>
      </c>
      <c r="D86" s="2" t="inlineStr">
        <is>
          <t>Contradicciones con el sistema — §10.2</t>
        </is>
      </c>
      <c r="E86" s="2" t="inlineStr">
        <is>
          <t>4 · Normal</t>
        </is>
      </c>
      <c r="F86" s="5" t="inlineStr">
        <is>
          <t>«2–4 oraciones» [173] vs. prompt de «máximo 4 párrafos»</t>
        </is>
      </c>
      <c r="G86" s="2" t="n"/>
      <c r="H86" s="2" t="n"/>
      <c r="I86" s="2" t="n"/>
      <c r="J86" s="2" t="inlineStr">
        <is>
          <t>Pendiente</t>
        </is>
      </c>
      <c r="K86" s="8" t="n"/>
      <c r="L86" s="2" t="n"/>
    </row>
    <row r="87">
      <c r="A87" s="2" t="inlineStr">
        <is>
          <t>K8</t>
        </is>
      </c>
      <c r="B87" s="2" t="inlineStr">
        <is>
          <t>Tarea</t>
        </is>
      </c>
      <c r="C87" s="2" t="inlineStr">
        <is>
          <t>6. Informe del TFG</t>
        </is>
      </c>
      <c r="D87" s="2" t="inlineStr">
        <is>
          <t>Contradicciones con el sistema — §10.2</t>
        </is>
      </c>
      <c r="E87" s="2" t="inlineStr">
        <is>
          <t>4 · Normal</t>
        </is>
      </c>
      <c r="F87" s="5" t="inlineStr">
        <is>
          <t>«GPT-4 variante ligera» [222] → gpt-4o-mini (variante de GPT-4o)</t>
        </is>
      </c>
      <c r="G87" s="2" t="n"/>
      <c r="H87" s="2" t="n"/>
      <c r="I87" s="2" t="n"/>
      <c r="J87" s="2" t="inlineStr">
        <is>
          <t>Pendiente</t>
        </is>
      </c>
      <c r="K87" s="8" t="n"/>
      <c r="L87" s="2" t="n"/>
    </row>
    <row r="88">
      <c r="A88" s="2" t="inlineStr">
        <is>
          <t>K9</t>
        </is>
      </c>
      <c r="B88" s="2" t="inlineStr">
        <is>
          <t>Tarea</t>
        </is>
      </c>
      <c r="C88" s="2" t="inlineStr">
        <is>
          <t>6. Informe del TFG</t>
        </is>
      </c>
      <c r="D88" s="2" t="inlineStr">
        <is>
          <t>Contradicciones con el sistema — §10.2</t>
        </is>
      </c>
      <c r="E88" s="2" t="inlineStr">
        <is>
          <t>4 · Normal</t>
        </is>
      </c>
      <c r="F88" s="5" t="inlineStr">
        <is>
          <t>Sesión de 60 min [758] → según D3</t>
        </is>
      </c>
      <c r="G88" s="2" t="n"/>
      <c r="H88" s="2" t="inlineStr">
        <is>
          <t>D3</t>
        </is>
      </c>
      <c r="I88" s="2" t="n"/>
      <c r="J88" s="2" t="inlineStr">
        <is>
          <t>Descartado</t>
        </is>
      </c>
      <c r="K88" s="8" t="n">
        <v>46278</v>
      </c>
      <c r="L88" s="2" t="inlineStr">
        <is>
          <t>El sistema caduca por inactividad a los 60 min (D3).</t>
        </is>
      </c>
    </row>
    <row r="89">
      <c r="A89" s="2" t="inlineStr">
        <is>
          <t>K10</t>
        </is>
      </c>
      <c r="B89" s="2" t="inlineStr">
        <is>
          <t>Tarea</t>
        </is>
      </c>
      <c r="C89" s="2" t="inlineStr">
        <is>
          <t>6. Informe del TFG</t>
        </is>
      </c>
      <c r="D89" s="2" t="inlineStr">
        <is>
          <t>Contradicciones con el sistema — §10.2</t>
        </is>
      </c>
      <c r="E89" s="2" t="inlineStr">
        <is>
          <t>4 · Normal</t>
        </is>
      </c>
      <c r="F89" s="5" t="inlineStr">
        <is>
          <t>«OpenAPI 5.0» [771] → OpenAPI 3.0 (la 5.0 no existe)</t>
        </is>
      </c>
      <c r="G89" s="2" t="n"/>
      <c r="H89" s="2" t="n"/>
      <c r="I89" s="2" t="n"/>
      <c r="J89" s="2" t="inlineStr">
        <is>
          <t>Pendiente</t>
        </is>
      </c>
      <c r="K89" s="8" t="n"/>
      <c r="L89" s="2" t="n"/>
    </row>
    <row r="90">
      <c r="A90" s="2" t="inlineStr">
        <is>
          <t>K11</t>
        </is>
      </c>
      <c r="B90" s="2" t="inlineStr">
        <is>
          <t>Tarea</t>
        </is>
      </c>
      <c r="C90" s="2" t="inlineStr">
        <is>
          <t>6. Informe del TFG</t>
        </is>
      </c>
      <c r="D90" s="2" t="inlineStr">
        <is>
          <t>Contradicciones con el sistema — §10.2</t>
        </is>
      </c>
      <c r="E90" s="2" t="inlineStr">
        <is>
          <t>4 · Normal</t>
        </is>
      </c>
      <c r="F90" s="5" t="inlineStr">
        <is>
          <t>Tres roles [720] → cuatro (ver I-7)</t>
        </is>
      </c>
      <c r="G90" s="2" t="n"/>
      <c r="H90" s="2" t="n"/>
      <c r="I90" s="2" t="n"/>
      <c r="J90" s="2" t="inlineStr">
        <is>
          <t>Pendiente</t>
        </is>
      </c>
      <c r="K90" s="8" t="n"/>
      <c r="L90" s="2" t="n"/>
    </row>
    <row r="91">
      <c r="A91" s="2" t="inlineStr">
        <is>
          <t>Cap. 3</t>
        </is>
      </c>
      <c r="B91" s="2" t="inlineStr">
        <is>
          <t>Tarea</t>
        </is>
      </c>
      <c r="C91" s="2" t="inlineStr">
        <is>
          <t>6. Informe del TFG</t>
        </is>
      </c>
      <c r="D91" s="2" t="inlineStr">
        <is>
          <t>Capítulos</t>
        </is>
      </c>
      <c r="E91" s="2" t="inlineStr">
        <is>
          <t>4 · Normal</t>
        </is>
      </c>
      <c r="F91" s="5" t="inlineStr">
        <is>
          <t>Metodología</t>
        </is>
      </c>
      <c r="G91" s="2" t="inlineStr">
        <is>
          <t>• Scrum e instrumentos de recolección</t>
        </is>
      </c>
      <c r="H91" s="2" t="n"/>
      <c r="I91" s="2" t="n"/>
      <c r="J91" s="2" t="inlineStr">
        <is>
          <t>Pendiente</t>
        </is>
      </c>
      <c r="K91" s="8" t="n"/>
      <c r="L91" s="2" t="n"/>
    </row>
    <row r="92">
      <c r="A92" s="2" t="inlineStr">
        <is>
          <t>Cap. 5</t>
        </is>
      </c>
      <c r="B92" s="2" t="inlineStr">
        <is>
          <t>Tarea</t>
        </is>
      </c>
      <c r="C92" s="2" t="inlineStr">
        <is>
          <t>6. Informe del TFG</t>
        </is>
      </c>
      <c r="D92" s="2" t="inlineStr">
        <is>
          <t>Capítulos</t>
        </is>
      </c>
      <c r="E92" s="2" t="inlineStr">
        <is>
          <t>4 · Normal</t>
        </is>
      </c>
      <c r="F92" s="5" t="inlineStr">
        <is>
          <t>Conclusiones y recomendaciones</t>
        </is>
      </c>
      <c r="G92" s="2" t="n"/>
      <c r="H92" s="2" t="n"/>
      <c r="I92" s="2" t="n"/>
      <c r="J92" s="2" t="inlineStr">
        <is>
          <t>Pendiente</t>
        </is>
      </c>
      <c r="K92" s="8" t="n"/>
      <c r="L92" s="2" t="n"/>
    </row>
    <row r="93">
      <c r="A93" s="2" t="inlineStr">
        <is>
          <t>Cap. 7</t>
        </is>
      </c>
      <c r="B93" s="2" t="inlineStr">
        <is>
          <t>Tarea</t>
        </is>
      </c>
      <c r="C93" s="2" t="inlineStr">
        <is>
          <t>6. Informe del TFG</t>
        </is>
      </c>
      <c r="D93" s="2" t="inlineStr">
        <is>
          <t>Capítulos</t>
        </is>
      </c>
      <c r="E93" s="2" t="inlineStr">
        <is>
          <t>4 · Normal</t>
        </is>
      </c>
      <c r="F93" s="5" t="inlineStr">
        <is>
          <t>Validación y resultados del piloto</t>
        </is>
      </c>
      <c r="G93" s="2" t="inlineStr">
        <is>
          <t>• requiere E4</t>
        </is>
      </c>
      <c r="H93" s="2" t="inlineStr">
        <is>
          <t>E4</t>
        </is>
      </c>
      <c r="I93" s="2" t="n"/>
      <c r="J93" s="2" t="inlineStr">
        <is>
          <t>Pendiente</t>
        </is>
      </c>
      <c r="K93" s="8" t="n"/>
      <c r="L93" s="2" t="n"/>
    </row>
    <row r="94">
      <c r="A94" s="2" t="inlineStr">
        <is>
          <t>Cap. 8</t>
        </is>
      </c>
      <c r="B94" s="2" t="inlineStr">
        <is>
          <t>Tarea</t>
        </is>
      </c>
      <c r="C94" s="2" t="inlineStr">
        <is>
          <t>6. Informe del TFG</t>
        </is>
      </c>
      <c r="D94" s="2" t="inlineStr">
        <is>
          <t>Capítulos</t>
        </is>
      </c>
      <c r="E94" s="2" t="inlineStr">
        <is>
          <t>4 · Normal</t>
        </is>
      </c>
      <c r="F94" s="5" t="inlineStr">
        <is>
          <t>Discusión de resultados</t>
        </is>
      </c>
      <c r="G94" s="2" t="inlineStr">
        <is>
          <t>• requiere E4</t>
        </is>
      </c>
      <c r="H94" s="2" t="inlineStr">
        <is>
          <t>E4</t>
        </is>
      </c>
      <c r="I94" s="2" t="n"/>
      <c r="J94" s="2" t="inlineStr">
        <is>
          <t>Pendiente</t>
        </is>
      </c>
      <c r="K94" s="8" t="n"/>
      <c r="L94" s="2" t="n"/>
    </row>
    <row r="95">
      <c r="A95" s="2" t="inlineStr">
        <is>
          <t>Cap. 9</t>
        </is>
      </c>
      <c r="B95" s="2" t="inlineStr">
        <is>
          <t>Tarea</t>
        </is>
      </c>
      <c r="C95" s="2" t="inlineStr">
        <is>
          <t>6. Informe del TFG</t>
        </is>
      </c>
      <c r="D95" s="2" t="inlineStr">
        <is>
          <t>Capítulos</t>
        </is>
      </c>
      <c r="E95" s="2" t="inlineStr">
        <is>
          <t>4 · Normal</t>
        </is>
      </c>
      <c r="F95" s="5" t="inlineStr">
        <is>
          <t>Aspectos éticos, legales y de privacidad</t>
        </is>
      </c>
      <c r="G95" s="2" t="inlineStr">
        <is>
          <t>• datos de menores, tutor IA, Ley 8968</t>
        </is>
      </c>
      <c r="H95" s="2" t="n"/>
      <c r="I95" s="2" t="n"/>
      <c r="J95" s="2" t="inlineStr">
        <is>
          <t>Pendiente</t>
        </is>
      </c>
      <c r="K95" s="8" t="n"/>
      <c r="L95" s="2" t="n"/>
    </row>
    <row r="96">
      <c r="A96" s="2" t="inlineStr">
        <is>
          <t>Cap. 10</t>
        </is>
      </c>
      <c r="B96" s="2" t="inlineStr">
        <is>
          <t>Tarea</t>
        </is>
      </c>
      <c r="C96" s="2" t="inlineStr">
        <is>
          <t>6. Informe del TFG</t>
        </is>
      </c>
      <c r="D96" s="2" t="inlineStr">
        <is>
          <t>Capítulos</t>
        </is>
      </c>
      <c r="E96" s="2" t="inlineStr">
        <is>
          <t>4 · Normal</t>
        </is>
      </c>
      <c r="F96" s="5" t="inlineStr">
        <is>
          <t>Trabajo futuro y escalabilidad</t>
        </is>
      </c>
      <c r="G96" s="2" t="n"/>
      <c r="H96" s="2" t="n"/>
      <c r="I96" s="2" t="n"/>
      <c r="J96" s="2" t="inlineStr">
        <is>
          <t>Pendiente</t>
        </is>
      </c>
      <c r="K96" s="8" t="n"/>
      <c r="L96" s="2" t="n"/>
    </row>
    <row r="97">
      <c r="A97" s="2" t="inlineStr">
        <is>
          <t>Cap. 11</t>
        </is>
      </c>
      <c r="B97" s="2" t="inlineStr">
        <is>
          <t>Tarea</t>
        </is>
      </c>
      <c r="C97" s="2" t="inlineStr">
        <is>
          <t>6. Informe del TFG</t>
        </is>
      </c>
      <c r="D97" s="2" t="inlineStr">
        <is>
          <t>Capítulos</t>
        </is>
      </c>
      <c r="E97" s="2" t="inlineStr">
        <is>
          <t>4 · Normal</t>
        </is>
      </c>
      <c r="F97" s="5" t="inlineStr">
        <is>
          <t>Gestión del proyecto</t>
        </is>
      </c>
      <c r="G97" s="2" t="inlineStr">
        <is>
          <t>• sprints, hitos, riesgos</t>
        </is>
      </c>
      <c r="H97" s="2" t="n"/>
      <c r="I97" s="2" t="n"/>
      <c r="J97" s="2" t="inlineStr">
        <is>
          <t>Pendiente</t>
        </is>
      </c>
      <c r="K97" s="8" t="n"/>
      <c r="L97" s="2" t="n"/>
    </row>
    <row r="98">
      <c r="A98" s="2" t="inlineStr">
        <is>
          <t>Cap. 1</t>
        </is>
      </c>
      <c r="B98" s="2" t="inlineStr">
        <is>
          <t>Tarea</t>
        </is>
      </c>
      <c r="C98" s="2" t="inlineStr">
        <is>
          <t>6. Informe del TFG</t>
        </is>
      </c>
      <c r="D98" s="2" t="inlineStr">
        <is>
          <t>Capítulos</t>
        </is>
      </c>
      <c r="E98" s="2" t="inlineStr">
        <is>
          <t>4 · Normal</t>
        </is>
      </c>
      <c r="F98" s="5" t="inlineStr">
        <is>
          <t>Introducción</t>
        </is>
      </c>
      <c r="G98" s="2" t="inlineStr">
        <is>
          <t>• completar (parcial)</t>
        </is>
      </c>
      <c r="H98" s="2" t="n"/>
      <c r="I98" s="2" t="n"/>
      <c r="J98" s="2" t="inlineStr">
        <is>
          <t>Pendiente</t>
        </is>
      </c>
      <c r="K98" s="8" t="n"/>
      <c r="L98" s="2" t="n"/>
    </row>
    <row r="99">
      <c r="A99" s="2" t="inlineStr">
        <is>
          <t>Cap. 2</t>
        </is>
      </c>
      <c r="B99" s="2" t="inlineStr">
        <is>
          <t>Tarea</t>
        </is>
      </c>
      <c r="C99" s="2" t="inlineStr">
        <is>
          <t>6. Informe del TFG</t>
        </is>
      </c>
      <c r="D99" s="2" t="inlineStr">
        <is>
          <t>Capítulos</t>
        </is>
      </c>
      <c r="E99" s="2" t="inlineStr">
        <is>
          <t>4 · Normal</t>
        </is>
      </c>
      <c r="F99" s="5" t="inlineStr">
        <is>
          <t>Marco teórico</t>
        </is>
      </c>
      <c r="G99" s="2" t="inlineStr">
        <is>
          <t>• completar (parcial)</t>
        </is>
      </c>
      <c r="H99" s="2" t="n"/>
      <c r="I99" s="2" t="n"/>
      <c r="J99" s="2" t="inlineStr">
        <is>
          <t>Pendiente</t>
        </is>
      </c>
      <c r="K99" s="8" t="n"/>
      <c r="L99" s="2" t="n"/>
    </row>
    <row r="100">
      <c r="A100" s="2" t="inlineStr">
        <is>
          <t>Cap. 4</t>
        </is>
      </c>
      <c r="B100" s="2" t="inlineStr">
        <is>
          <t>Tarea</t>
        </is>
      </c>
      <c r="C100" s="2" t="inlineStr">
        <is>
          <t>6. Informe del TFG</t>
        </is>
      </c>
      <c r="D100" s="2" t="inlineStr">
        <is>
          <t>Capítulos</t>
        </is>
      </c>
      <c r="E100" s="2" t="inlineStr">
        <is>
          <t>4 · Normal</t>
        </is>
      </c>
      <c r="F100" s="5" t="inlineStr">
        <is>
          <t>Resultados</t>
        </is>
      </c>
      <c r="G100" s="2" t="inlineStr">
        <is>
          <t>• completar (parcial)</t>
        </is>
      </c>
      <c r="H100" s="2" t="n"/>
      <c r="I100" s="2" t="n"/>
      <c r="J100" s="2" t="inlineStr">
        <is>
          <t>Pendiente</t>
        </is>
      </c>
      <c r="K100" s="8" t="n"/>
      <c r="L100" s="2" t="n"/>
    </row>
    <row r="101">
      <c r="A101" s="2" t="inlineStr">
        <is>
          <t>Cap. 6</t>
        </is>
      </c>
      <c r="B101" s="2" t="inlineStr">
        <is>
          <t>Tarea</t>
        </is>
      </c>
      <c r="C101" s="2" t="inlineStr">
        <is>
          <t>6. Informe del TFG</t>
        </is>
      </c>
      <c r="D101" s="2" t="inlineStr">
        <is>
          <t>Capítulos</t>
        </is>
      </c>
      <c r="E101" s="2" t="inlineStr">
        <is>
          <t>4 · Normal</t>
        </is>
      </c>
      <c r="F101" s="5" t="inlineStr">
        <is>
          <t>Implementación</t>
        </is>
      </c>
      <c r="G101" s="2" t="inlineStr">
        <is>
          <t>• completar y actualizar diagramas (parcial)</t>
        </is>
      </c>
      <c r="H101" s="2" t="n"/>
      <c r="I101" s="2" t="n"/>
      <c r="J101" s="2" t="inlineStr">
        <is>
          <t>Pendiente</t>
        </is>
      </c>
      <c r="K101" s="8" t="n"/>
      <c r="L101" s="2" t="n"/>
    </row>
    <row r="102">
      <c r="A102" s="2" t="inlineStr">
        <is>
          <t>E1</t>
        </is>
      </c>
      <c r="B102" s="2" t="inlineStr">
        <is>
          <t>Tarea</t>
        </is>
      </c>
      <c r="C102" s="2" t="inlineStr">
        <is>
          <t>7. Entregables no-código</t>
        </is>
      </c>
      <c r="D102" s="2" t="n"/>
      <c r="E102" s="2" t="inlineStr">
        <is>
          <t>1 · Alta</t>
        </is>
      </c>
      <c r="F102" s="5" t="inlineStr">
        <is>
          <t>Mockups / prototipo visual en Figma</t>
        </is>
      </c>
      <c r="G102" s="2" t="n"/>
      <c r="H102" s="2" t="n"/>
      <c r="I102" s="2" t="n"/>
      <c r="J102" s="2" t="inlineStr">
        <is>
          <t>Pendiente</t>
        </is>
      </c>
      <c r="K102" s="8" t="n"/>
      <c r="L102" s="2" t="n"/>
    </row>
    <row r="103">
      <c r="A103" s="2" t="inlineStr">
        <is>
          <t>E2</t>
        </is>
      </c>
      <c r="B103" s="2" t="inlineStr">
        <is>
          <t>Tarea</t>
        </is>
      </c>
      <c r="C103" s="2" t="inlineStr">
        <is>
          <t>7. Entregables no-código</t>
        </is>
      </c>
      <c r="D103" s="2" t="n"/>
      <c r="E103" s="2" t="inlineStr">
        <is>
          <t>1 · Alta</t>
        </is>
      </c>
      <c r="F103" s="5" t="inlineStr">
        <is>
          <t>Banco de ítems: mínimo 60 preguntas reales con metadatos</t>
        </is>
      </c>
      <c r="G103" s="2" t="inlineStr">
        <is>
          <t>• requiere D2</t>
        </is>
      </c>
      <c r="H103" s="2" t="inlineStr">
        <is>
          <t>D2</t>
        </is>
      </c>
      <c r="I103" s="2" t="n"/>
      <c r="J103" s="2" t="inlineStr">
        <is>
          <t>Pendiente</t>
        </is>
      </c>
      <c r="K103" s="8" t="n"/>
      <c r="L103" s="2" t="inlineStr">
        <is>
          <t>Desbloqueada el 13/09/2026: topic, indicator y difficulty ya existen en questions (D2).</t>
        </is>
      </c>
    </row>
    <row r="104">
      <c r="A104" s="2" t="inlineStr">
        <is>
          <t>E3</t>
        </is>
      </c>
      <c r="B104" s="2" t="inlineStr">
        <is>
          <t>Tarea</t>
        </is>
      </c>
      <c r="C104" s="2" t="inlineStr">
        <is>
          <t>7. Entregables no-código</t>
        </is>
      </c>
      <c r="D104" s="2" t="n"/>
      <c r="E104" s="2" t="inlineStr">
        <is>
          <t>1 · Alta</t>
        </is>
      </c>
      <c r="F104" s="5" t="inlineStr">
        <is>
          <t>Acta del taller de co-diseño con docentes</t>
        </is>
      </c>
      <c r="G104" s="2" t="n"/>
      <c r="H104" s="2" t="n"/>
      <c r="I104" s="2" t="n"/>
      <c r="J104" s="2" t="inlineStr">
        <is>
          <t>Pendiente</t>
        </is>
      </c>
      <c r="K104" s="8" t="n"/>
      <c r="L104" s="2" t="n"/>
    </row>
    <row r="105">
      <c r="A105" s="2" t="inlineStr">
        <is>
          <t>E4</t>
        </is>
      </c>
      <c r="B105" s="2" t="inlineStr">
        <is>
          <t>Tarea</t>
        </is>
      </c>
      <c r="C105" s="2" t="inlineStr">
        <is>
          <t>7. Entregables no-código</t>
        </is>
      </c>
      <c r="D105" s="2" t="n"/>
      <c r="E105" s="2" t="inlineStr">
        <is>
          <t>1 · Alta</t>
        </is>
      </c>
      <c r="F105" s="5" t="inlineStr">
        <is>
          <t>Piloto con usuarios reales</t>
        </is>
      </c>
      <c r="G105" s="2" t="inlineStr">
        <is>
          <t>• (docentes y estudiantes) — requiere P1–P3</t>
        </is>
      </c>
      <c r="H105" s="2" t="inlineStr">
        <is>
          <t>P1–P3</t>
        </is>
      </c>
      <c r="I105" s="2" t="n"/>
      <c r="J105" s="2" t="inlineStr">
        <is>
          <t>Pendiente</t>
        </is>
      </c>
      <c r="K105" s="8" t="n"/>
      <c r="L105" s="2" t="n"/>
    </row>
    <row r="106">
      <c r="A106" s="2" t="inlineStr">
        <is>
          <t>E5</t>
        </is>
      </c>
      <c r="B106" s="2" t="inlineStr">
        <is>
          <t>Tarea</t>
        </is>
      </c>
      <c r="C106" s="2" t="inlineStr">
        <is>
          <t>7. Entregables no-código</t>
        </is>
      </c>
      <c r="D106" s="2" t="n"/>
      <c r="E106" s="2" t="inlineStr">
        <is>
          <t>2 · Media</t>
        </is>
      </c>
      <c r="F106" s="5" t="inlineStr">
        <is>
          <t>Rúbricas para preguntas abiertas</t>
        </is>
      </c>
      <c r="G106" s="2" t="n"/>
      <c r="H106" s="2" t="n"/>
      <c r="I106" s="2" t="n"/>
      <c r="J106" s="2" t="inlineStr">
        <is>
          <t>Pendiente</t>
        </is>
      </c>
      <c r="K106" s="8" t="n"/>
      <c r="L106" s="2" t="n"/>
    </row>
    <row r="107">
      <c r="A107" s="2" t="inlineStr">
        <is>
          <t>E6</t>
        </is>
      </c>
      <c r="B107" s="2" t="inlineStr">
        <is>
          <t>Tarea</t>
        </is>
      </c>
      <c r="C107" s="2" t="inlineStr">
        <is>
          <t>7. Entregables no-código</t>
        </is>
      </c>
      <c r="D107" s="2" t="n"/>
      <c r="E107" s="2" t="inlineStr">
        <is>
          <t>2 · Media</t>
        </is>
      </c>
      <c r="F107" s="5" t="inlineStr">
        <is>
          <t>Mini-guía para crear nuevos ítems</t>
        </is>
      </c>
      <c r="G107" s="2" t="n"/>
      <c r="H107" s="2" t="n"/>
      <c r="I107" s="2" t="n"/>
      <c r="J107" s="2" t="inlineStr">
        <is>
          <t>Pendiente</t>
        </is>
      </c>
      <c r="K107" s="8" t="n"/>
      <c r="L107" s="2" t="n"/>
    </row>
    <row r="108">
      <c r="A108" s="2" t="inlineStr">
        <is>
          <t>E7</t>
        </is>
      </c>
      <c r="B108" s="2" t="inlineStr">
        <is>
          <t>Tarea</t>
        </is>
      </c>
      <c r="C108" s="2" t="inlineStr">
        <is>
          <t>7. Entregables no-código</t>
        </is>
      </c>
      <c r="D108" s="2" t="n"/>
      <c r="E108" s="2" t="inlineStr">
        <is>
          <t>2 · Media</t>
        </is>
      </c>
      <c r="F108" s="5" t="inlineStr">
        <is>
          <t>Manual de usuario básico en línea</t>
        </is>
      </c>
      <c r="G108" s="2" t="n"/>
      <c r="H108" s="2" t="n"/>
      <c r="I108" s="2" t="n"/>
      <c r="J108" s="2" t="inlineStr">
        <is>
          <t>Pendiente</t>
        </is>
      </c>
      <c r="K108" s="8" t="n"/>
      <c r="L108" s="2" t="n"/>
    </row>
    <row r="109">
      <c r="A109" s="2" t="inlineStr">
        <is>
          <t>E8</t>
        </is>
      </c>
      <c r="B109" s="2" t="inlineStr">
        <is>
          <t>Tarea</t>
        </is>
      </c>
      <c r="C109" s="2" t="inlineStr">
        <is>
          <t>7. Entregables no-código</t>
        </is>
      </c>
      <c r="D109" s="2" t="n"/>
      <c r="E109" s="2" t="inlineStr">
        <is>
          <t>2 · Media</t>
        </is>
      </c>
      <c r="F109" s="5" t="inlineStr">
        <is>
          <t>Cronograma / bitácora del proyecto</t>
        </is>
      </c>
      <c r="G109" s="2" t="n"/>
      <c r="H109" s="2" t="n"/>
      <c r="I109" s="2" t="n"/>
      <c r="J109" s="2" t="inlineStr">
        <is>
          <t>Pendiente</t>
        </is>
      </c>
      <c r="K109" s="8" t="n"/>
      <c r="L109" s="2" t="n"/>
    </row>
    <row r="110">
      <c r="A110" s="2" t="inlineStr">
        <is>
          <t>E9</t>
        </is>
      </c>
      <c r="B110" s="2" t="inlineStr">
        <is>
          <t>Tarea</t>
        </is>
      </c>
      <c r="C110" s="2" t="inlineStr">
        <is>
          <t>7. Entregables no-código</t>
        </is>
      </c>
      <c r="D110" s="2" t="n"/>
      <c r="E110" s="2" t="inlineStr">
        <is>
          <t>4 · Normal</t>
        </is>
      </c>
      <c r="F110" s="5" t="inlineStr">
        <is>
          <t>Anexo 1: encuestas a docentes y estudiantes</t>
        </is>
      </c>
      <c r="G110" s="2" t="inlineStr">
        <is>
          <t>• (diseñar y aplicar)</t>
        </is>
      </c>
      <c r="H110" s="2" t="n"/>
      <c r="I110" s="2" t="n"/>
      <c r="J110" s="2" t="inlineStr">
        <is>
          <t>Pendiente</t>
        </is>
      </c>
      <c r="K110" s="8" t="n"/>
      <c r="L110" s="2" t="n"/>
    </row>
    <row r="111">
      <c r="A111" s="2" t="inlineStr">
        <is>
          <t>E10</t>
        </is>
      </c>
      <c r="B111" s="2" t="inlineStr">
        <is>
          <t>Tarea</t>
        </is>
      </c>
      <c r="C111" s="2" t="inlineStr">
        <is>
          <t>7. Entregables no-código</t>
        </is>
      </c>
      <c r="D111" s="2" t="n"/>
      <c r="E111" s="2" t="inlineStr">
        <is>
          <t>4 · Normal</t>
        </is>
      </c>
      <c r="F111" s="5" t="inlineStr">
        <is>
          <t>Anexo 2: guía de entrevistas semi-estructuradas</t>
        </is>
      </c>
      <c r="G111" s="2" t="inlineStr">
        <is>
          <t>• (diseñar y aplicar)</t>
        </is>
      </c>
      <c r="H111" s="2" t="n"/>
      <c r="I111" s="2" t="n"/>
      <c r="J111" s="2" t="inlineStr">
        <is>
          <t>Pendiente</t>
        </is>
      </c>
      <c r="K111" s="8" t="n"/>
      <c r="L111" s="2" t="n"/>
    </row>
    <row r="112">
      <c r="A112" s="2" t="inlineStr">
        <is>
          <t>O1</t>
        </is>
      </c>
      <c r="B112" s="2" t="inlineStr">
        <is>
          <t>Tarea</t>
        </is>
      </c>
      <c r="C112" s="2" t="inlineStr">
        <is>
          <t>8. Mejoras opcionales</t>
        </is>
      </c>
      <c r="D112" s="2" t="n"/>
      <c r="E112" s="2" t="inlineStr">
        <is>
          <t>4 · Normal</t>
        </is>
      </c>
      <c r="F112" s="5" t="inlineStr">
        <is>
          <t>Notificar al estudiante que tiene un examen disponible</t>
        </is>
      </c>
      <c r="G112" s="2" t="inlineStr">
        <is>
          <t>• (hoy no hay evento ni correo) — ESTADO_Y_PENDIENTES.md §3.1</t>
        </is>
      </c>
      <c r="H112" s="2" t="n"/>
      <c r="I112" s="2" t="n"/>
      <c r="J112" s="2" t="inlineStr">
        <is>
          <t>Hecho</t>
        </is>
      </c>
      <c r="K112" s="8" t="n">
        <v>46298</v>
      </c>
      <c r="L112" s="2" t="inlineStr">
        <is>
          <t>Aviso en la app al activar el examen (sin correo, decisión del usuario). Frontend en F18</t>
        </is>
      </c>
    </row>
    <row r="113">
      <c r="A113" s="2" t="inlineStr">
        <is>
          <t>O2</t>
        </is>
      </c>
      <c r="B113" s="2" t="inlineStr">
        <is>
          <t>Tarea</t>
        </is>
      </c>
      <c r="C113" s="2" t="inlineStr">
        <is>
          <t>8. Mejoras opcionales</t>
        </is>
      </c>
      <c r="D113" s="2" t="n"/>
      <c r="E113" s="2" t="inlineStr">
        <is>
          <t>4 · Normal</t>
        </is>
      </c>
      <c r="F113" s="5" t="inlineStr">
        <is>
          <t>Adaptar el formato de la respuesta del tutor al estilo de aprendizaje</t>
        </is>
      </c>
      <c r="G113" s="2" t="inlineStr">
        <is>
          <t>• (hoy solo cambia el tono) — §3.2</t>
        </is>
      </c>
      <c r="H113" s="2" t="n"/>
      <c r="I113" s="2" t="n"/>
      <c r="J113" s="2" t="inlineStr">
        <is>
          <t>Hecho</t>
        </is>
      </c>
      <c r="K113" s="8" t="n">
        <v>46298</v>
      </c>
      <c r="L113" s="2" t="inlineStr">
        <is>
          <t>Formato por estilo en chat y diagnóstico + campo presentation. Frontend en F19</t>
        </is>
      </c>
    </row>
    <row r="114">
      <c r="A114" s="2" t="inlineStr">
        <is>
          <t>O3</t>
        </is>
      </c>
      <c r="B114" s="2" t="inlineStr">
        <is>
          <t>Tarea</t>
        </is>
      </c>
      <c r="C114" s="2" t="inlineStr">
        <is>
          <t>8. Mejoras opcionales</t>
        </is>
      </c>
      <c r="D114" s="2" t="n"/>
      <c r="E114" s="2" t="inlineStr">
        <is>
          <t>4 · Normal</t>
        </is>
      </c>
      <c r="F114" s="5" t="inlineStr">
        <is>
          <t>Bajar el coste fijo del submit de 22 a ~12 queries</t>
        </is>
      </c>
      <c r="G114" s="2" t="inlineStr">
        <is>
          <t>• (~170 entregas/s). Perfilar antes; candidato: recalcFromAttempts a la cola — ANALISIS_CONCURRENCIA.md §5.5</t>
        </is>
      </c>
      <c r="H114" s="2" t="n"/>
      <c r="I114" s="2" t="n"/>
      <c r="J114" s="2" t="inlineStr">
        <is>
          <t>Hecho</t>
        </is>
      </c>
      <c r="K114" s="8" t="n">
        <v>46298</v>
      </c>
      <c r="L114" s="2" t="inlineStr">
        <is>
          <t>22 → 13 queries sin cola; tope de QueryBudgetTest en 14</t>
        </is>
      </c>
    </row>
    <row r="115">
      <c r="A115" s="2" t="inlineStr">
        <is>
          <t>O4</t>
        </is>
      </c>
      <c r="B115" s="2" t="inlineStr">
        <is>
          <t>Tarea</t>
        </is>
      </c>
      <c r="C115" s="2" t="inlineStr">
        <is>
          <t>8. Mejoras opcionales</t>
        </is>
      </c>
      <c r="D115" s="2" t="n"/>
      <c r="E115" s="2" t="inlineStr">
        <is>
          <t>4 · Normal</t>
        </is>
      </c>
      <c r="F115" s="5" t="inlineStr">
        <is>
          <t>Comando schema:check-drift para CI</t>
        </is>
      </c>
      <c r="G115" s="2" t="n"/>
      <c r="H115" s="2" t="n"/>
      <c r="I115" s="2" t="n"/>
      <c r="J115" s="2" t="inlineStr">
        <is>
          <t>Hecho</t>
        </is>
      </c>
      <c r="K115" s="8" t="n">
        <v>46298</v>
      </c>
      <c r="L115" s="2" t="inlineStr">
        <is>
          <t>Base temporal + migrate + dump + diff; primera ejecución sin drift. Falta CI donde engancharlo</t>
        </is>
      </c>
    </row>
    <row r="116">
      <c r="A116" s="2" t="inlineStr">
        <is>
          <t>O5</t>
        </is>
      </c>
      <c r="B116" s="2" t="inlineStr">
        <is>
          <t>Tarea</t>
        </is>
      </c>
      <c r="C116" s="2" t="inlineStr">
        <is>
          <t>8. Mejoras opcionales</t>
        </is>
      </c>
      <c r="D116" s="2" t="n"/>
      <c r="E116" s="2" t="inlineStr">
        <is>
          <t>4 · Normal</t>
        </is>
      </c>
      <c r="F116" s="5" t="inlineStr">
        <is>
          <t>exclude_student_user_ids en POST /bulk/reassign-group</t>
        </is>
      </c>
      <c r="G116" s="2" t="n"/>
      <c r="H116" s="2" t="n"/>
      <c r="I116" s="2" t="n"/>
      <c r="J116" s="2" t="inlineStr">
        <is>
          <t>Hecho</t>
        </is>
      </c>
      <c r="K116" s="8" t="n">
        <v>46298</v>
      </c>
      <c r="L116" s="2" t="inlineStr">
        <is>
          <t>Solo con from_group_id; la respuesta trae excluded. 3 tests en BulkReassignmentTest</t>
        </is>
      </c>
    </row>
    <row r="117">
      <c r="A117" s="2" t="inlineStr">
        <is>
          <t>O6</t>
        </is>
      </c>
      <c r="B117" s="2" t="inlineStr">
        <is>
          <t>Tarea</t>
        </is>
      </c>
      <c r="C117" s="2" t="inlineStr">
        <is>
          <t>8. Mejoras opcionales</t>
        </is>
      </c>
      <c r="D117" s="2" t="n"/>
      <c r="E117" s="2" t="inlineStr">
        <is>
          <t>4 · Normal</t>
        </is>
      </c>
      <c r="F117" s="5" t="inlineStr">
        <is>
          <t>Cerrar el residual de ~13 ms de temporización en /password/forgot</t>
        </is>
      </c>
      <c r="G117" s="2" t="n"/>
      <c r="H117" s="2" t="n"/>
      <c r="I117" s="2" t="n"/>
      <c r="J117" s="2" t="inlineStr">
        <is>
          <t>Hecho</t>
        </is>
      </c>
      <c r="K117" s="8" t="n">
        <v>46298</v>
      </c>
      <c r="L117" s="2" t="inlineStr">
        <is>
          <t>La petición solo encola EnviarEnlaceRecuperacion: mismo trabajo exista o no la cuenta</t>
        </is>
      </c>
    </row>
    <row r="118">
      <c r="A118" s="2" t="inlineStr">
        <is>
          <t>O7</t>
        </is>
      </c>
      <c r="B118" s="2" t="inlineStr">
        <is>
          <t>Tarea</t>
        </is>
      </c>
      <c r="C118" s="2" t="inlineStr">
        <is>
          <t>8. Mejoras opcionales</t>
        </is>
      </c>
      <c r="D118" s="2" t="n"/>
      <c r="E118" s="2" t="inlineStr">
        <is>
          <t>4 · Normal</t>
        </is>
      </c>
      <c r="F118" s="5" t="inlineStr">
        <is>
          <t>Mover las llamadas a OpenAI a la cola</t>
        </is>
      </c>
      <c r="G118" s="2" t="inlineStr">
        <is>
          <t>• (solo si crece el volumen del tutor)</t>
        </is>
      </c>
      <c r="H118" s="2" t="n"/>
      <c r="I118" s="2" t="n"/>
      <c r="J118" s="2" t="inlineStr">
        <is>
          <t>Hecho</t>
        </is>
      </c>
      <c r="K118" s="8" t="n">
        <v>46298</v>
      </c>
      <c r="L118" s="2" t="inlineStr">
        <is>
          <t>Modo opcional async:true en el chat + GET /ai/tutor/sessions/{id}. Frontend en F20</t>
        </is>
      </c>
    </row>
    <row r="119">
      <c r="A119" s="2" t="inlineStr">
        <is>
          <t>O8</t>
        </is>
      </c>
      <c r="B119" s="2" t="inlineStr">
        <is>
          <t>Tarea</t>
        </is>
      </c>
      <c r="C119" s="2" t="inlineStr">
        <is>
          <t>8. Mejoras opcionales</t>
        </is>
      </c>
      <c r="D119" s="2" t="n"/>
      <c r="E119" s="2" t="inlineStr">
        <is>
          <t>4 · Normal</t>
        </is>
      </c>
      <c r="F119" s="5" t="inlineStr">
        <is>
          <t>Relaciones Eloquent faltantes</t>
        </is>
      </c>
      <c r="G119" s="2" t="inlineStr">
        <is>
          <t>• (belongsTo(Institution) en 8 modelos, hasMany en Institution y Subject) — solo si el diagrama de clases se dibuja leyendo modelos — §3.5</t>
        </is>
      </c>
      <c r="H119" s="2" t="n"/>
      <c r="I119" s="2" t="n"/>
      <c r="J119" s="2" t="inlineStr">
        <is>
          <t>Hecho</t>
        </is>
      </c>
      <c r="K119" s="8" t="n">
        <v>46298</v>
      </c>
      <c r="L119" s="2" t="inlineStr">
        <is>
          <t>Eran 9 modelos (también StudentSubject) + 3 FK posteriores. Vigilado por EloquentRelationsMatchFksTest</t>
        </is>
      </c>
    </row>
    <row r="120">
      <c r="A120" s="2" t="inlineStr">
        <is>
          <t>B1</t>
        </is>
      </c>
      <c r="B120" s="2" t="inlineStr">
        <is>
          <t>Tarea</t>
        </is>
      </c>
      <c r="C120" s="2" t="inlineStr">
        <is>
          <t>9. Funcionalidad nueva del backend</t>
        </is>
      </c>
      <c r="D120" s="2" t="n"/>
      <c r="E120" s="2" t="inlineStr">
        <is>
          <t>2 · Media</t>
        </is>
      </c>
      <c r="F120" s="5" t="inlineStr">
        <is>
          <t>Exportar los reportes también en XLSX</t>
        </is>
      </c>
      <c r="G120" s="2" t="inlineStr">
        <is>
          <t>• (además de PDF y CSV)
• Requisito fijado por el usuario el 10/09/2026: el sistema debe generar los reportes en PDF, CSV y XLSX.
• Rutas nuevas, en paralelo a las .csv: GET /reports/exams/{exam}/results.xlsx y GET /reports/students/{id}/history.xlsx. Mismos permisos que su versión CSV (assertCanAccessExam y findStudent).
• Se genera en el backend, igual que el CSV: es serialización del dataset, no presentación. phpoffice/phpspreadsheet ya está instalado (lo usa la carga masiva).
• Plan técnico, ya revisado sobre app/Services/Admin/ReportExportService.php:
• Decisión menor: las fechas salen en UTC, igual que en el CSV y el JSON. institutions.settings.timezone existe pero ningún reporte lo usa. ¿Convertir a la hora del centro en todos los formatos?
• Informe: donde dice «PDF y CSV» ([236], [390], [732]) añadir XLSX una vez implementado.</t>
        </is>
      </c>
      <c r="H120" s="2" t="n"/>
      <c r="I120" s="2" t="n"/>
      <c r="J120" s="2" t="inlineStr">
        <is>
          <t>Hecho</t>
        </is>
      </c>
      <c r="K120" s="8" t="n">
        <v>46278</v>
      </c>
      <c r="L120" s="2" t="inlineStr">
        <is>
          <t>Rutas results.xlsx e history.xlsx, mismo dataset y permisos que el CSV. 382 tests pasando, 119 endpoints. Queda abierto B1a (zona horaria) y B1b (informe).</t>
        </is>
      </c>
    </row>
    <row r="121">
      <c r="A121" s="3" t="inlineStr">
        <is>
          <t>B1.1</t>
        </is>
      </c>
      <c r="B121" s="3" t="inlineStr">
        <is>
          <t>Subtarea</t>
        </is>
      </c>
      <c r="C121" s="3" t="inlineStr">
        <is>
          <t>9. Funcionalidad nueva del backend</t>
        </is>
      </c>
      <c r="D121" s="3" t="n"/>
      <c r="E121" s="3" t="inlineStr">
        <is>
          <t>2 · Media</t>
        </is>
      </c>
      <c r="F121" s="6" t="inlineStr">
        <is>
          <t>Definir el dataset de cada reporte (cabeceras + filas) una sola vez y que CSV y XLSX lo consuman, para que no diverjan</t>
        </is>
      </c>
      <c r="G121" s="3" t="n"/>
      <c r="H121" s="3" t="n"/>
      <c r="I121" s="3" t="n"/>
      <c r="J121" s="3" t="inlineStr">
        <is>
          <t>Hecho</t>
        </is>
      </c>
      <c r="K121" s="9" t="n">
        <v>46278</v>
      </c>
      <c r="L121" s="3" t="n"/>
    </row>
    <row r="122">
      <c r="A122" s="3" t="inlineStr">
        <is>
          <t>B1.2</t>
        </is>
      </c>
      <c r="B122" s="3" t="inlineStr">
        <is>
          <t>Subtarea</t>
        </is>
      </c>
      <c r="C122" s="3" t="inlineStr">
        <is>
          <t>9. Funcionalidad nueva del backend</t>
        </is>
      </c>
      <c r="D122" s="3" t="n"/>
      <c r="E122" s="3" t="inlineStr">
        <is>
          <t>2 · Media</t>
        </is>
      </c>
      <c r="F122" s="6" t="inlineStr">
        <is>
          <t>Escribir las celdas con tipo explícito (setCellValueExplicit): notas como número, submitted_at como fecha de Excel y el resto como texto. setCellValue() convierte en fórmula todo texto que empiece por =</t>
        </is>
      </c>
      <c r="G122" s="3" t="n"/>
      <c r="H122" s="3" t="n"/>
      <c r="I122" s="3" t="n"/>
      <c r="J122" s="3" t="inlineStr">
        <is>
          <t>Hecho</t>
        </is>
      </c>
      <c r="K122" s="9" t="n">
        <v>46278</v>
      </c>
      <c r="L122" s="3" t="n"/>
    </row>
    <row r="123">
      <c r="A123" s="3" t="inlineStr">
        <is>
          <t>B1.3</t>
        </is>
      </c>
      <c r="B123" s="3" t="inlineStr">
        <is>
          <t>Subtarea</t>
        </is>
      </c>
      <c r="C123" s="3" t="inlineStr">
        <is>
          <t>9. Funcionalidad nueva del backend</t>
        </is>
      </c>
      <c r="D123" s="3" t="n"/>
      <c r="E123" s="3" t="inlineStr">
        <is>
          <t>2 · Media</t>
        </is>
      </c>
      <c r="F123" s="6" t="inlineStr">
        <is>
          <t>Tras escribir: $book-&gt;disconnectWorksheets(), porque bajo Octane el worker sobrevive a la petición</t>
        </is>
      </c>
      <c r="G123" s="3" t="n"/>
      <c r="H123" s="3" t="n"/>
      <c r="I123" s="3" t="n"/>
      <c r="J123" s="3" t="inlineStr">
        <is>
          <t>Hecho</t>
        </is>
      </c>
      <c r="K123" s="9" t="n">
        <v>46278</v>
      </c>
      <c r="L123" s="3" t="n"/>
    </row>
    <row r="124">
      <c r="A124" s="3" t="inlineStr">
        <is>
          <t>B1.4</t>
        </is>
      </c>
      <c r="B124" s="3" t="inlineStr">
        <is>
          <t>Subtarea</t>
        </is>
      </c>
      <c r="C124" s="3" t="inlineStr">
        <is>
          <t>9. Funcionalidad nueva del backend</t>
        </is>
      </c>
      <c r="D124" s="3" t="n"/>
      <c r="E124" s="3" t="inlineStr">
        <is>
          <t>2 · Media</t>
        </is>
      </c>
      <c r="F124" s="6" t="inlineStr">
        <is>
          <t>A diferencia del CSV, PhpSpreadsheet arma el libro en memoria; con estos volúmenes son pocos MB, pero hay que dejarlo documentado</t>
        </is>
      </c>
      <c r="G124" s="3" t="n"/>
      <c r="H124" s="3" t="n"/>
      <c r="I124" s="3" t="n"/>
      <c r="J124" s="3" t="inlineStr">
        <is>
          <t>Hecho</t>
        </is>
      </c>
      <c r="K124" s="9" t="n">
        <v>46278</v>
      </c>
      <c r="L124" s="3" t="n"/>
    </row>
    <row r="125">
      <c r="A125" s="3" t="inlineStr">
        <is>
          <t>B1.5</t>
        </is>
      </c>
      <c r="B125" s="3" t="inlineStr">
        <is>
          <t>Subtarea</t>
        </is>
      </c>
      <c r="C125" s="3" t="inlineStr">
        <is>
          <t>9. Funcionalidad nueva del backend</t>
        </is>
      </c>
      <c r="D125" s="3" t="n"/>
      <c r="E125" s="3" t="inlineStr">
        <is>
          <t>2 · Media</t>
        </is>
      </c>
      <c r="F125" s="6" t="inlineStr">
        <is>
          <t>Tests: tipo de contenido, cabeceras iguales al CSV, tipos de celda, texto con = guardado como texto, 403 para docente sin acceso, ruta en ProtectedRoutesRequireAuthTest y presupuesto de queries plano (QueryBudgetTest)</t>
        </is>
      </c>
      <c r="G125" s="3" t="n"/>
      <c r="H125" s="3" t="n"/>
      <c r="I125" s="3" t="n"/>
      <c r="J125" s="3" t="inlineStr">
        <is>
          <t>Hecho</t>
        </is>
      </c>
      <c r="K125" s="9" t="n">
        <v>46278</v>
      </c>
      <c r="L125" s="3" t="n"/>
    </row>
    <row r="126">
      <c r="A126" s="3" t="inlineStr">
        <is>
          <t>B1.6</t>
        </is>
      </c>
      <c r="B126" s="3" t="inlineStr">
        <is>
          <t>Subtarea</t>
        </is>
      </c>
      <c r="C126" s="3" t="inlineStr">
        <is>
          <t>9. Funcionalidad nueva del backend</t>
        </is>
      </c>
      <c r="D126" s="3" t="n"/>
      <c r="E126" s="3" t="inlineStr">
        <is>
          <t>2 · Media</t>
        </is>
      </c>
      <c r="F126" s="6" t="inlineStr">
        <is>
          <t>Regenerar OpenAPI (php artisan openapi:generate) y Postman (php postman/generate_postman_collection.php)</t>
        </is>
      </c>
      <c r="G126" s="3" t="n"/>
      <c r="H126" s="3" t="n"/>
      <c r="I126" s="3" t="n"/>
      <c r="J126" s="3" t="inlineStr">
        <is>
          <t>Hecho</t>
        </is>
      </c>
      <c r="K126" s="9" t="n">
        <v>46278</v>
      </c>
      <c r="L126" s="3" t="n"/>
    </row>
    <row r="127">
      <c r="A127" s="4" t="inlineStr">
        <is>
          <t>B1.7</t>
        </is>
      </c>
      <c r="B127" s="4" t="inlineStr">
        <is>
          <t>Subtarea</t>
        </is>
      </c>
      <c r="C127" s="4" t="inlineStr">
        <is>
          <t>9. Funcionalidad nueva del backend</t>
        </is>
      </c>
      <c r="D127" s="4" t="n"/>
      <c r="E127" s="4" t="inlineStr">
        <is>
          <t>2 · Media</t>
        </is>
      </c>
      <c r="F127" s="7" t="inlineStr">
        <is>
          <t>Actualizar ESTADO_Y_PENDIENTES.md §2 Reportes y §6 Referencia de endpoints</t>
        </is>
      </c>
      <c r="G127" s="4" t="n"/>
      <c r="H127" s="4" t="n"/>
      <c r="I127" s="4" t="n"/>
      <c r="J127" s="4" t="inlineStr">
        <is>
          <t>Hecho</t>
        </is>
      </c>
      <c r="K127" s="10" t="n">
        <v>46278</v>
      </c>
      <c r="L127" s="4" t="n"/>
    </row>
    <row r="128">
      <c r="A128" s="2" t="inlineStr">
        <is>
          <t>B1a</t>
        </is>
      </c>
      <c r="B128" s="2" t="inlineStr">
        <is>
          <t>Tarea</t>
        </is>
      </c>
      <c r="C128" s="2" t="inlineStr">
        <is>
          <t>9. Funcionalidad nueva del backend</t>
        </is>
      </c>
      <c r="D128" s="2" t="n"/>
      <c r="E128" s="2" t="inlineStr">
        <is>
          <t>4 · Normal</t>
        </is>
      </c>
      <c r="F128" s="2" t="inlineStr">
        <is>
          <t>Zona horaria de los reportes</t>
        </is>
      </c>
      <c r="G128" s="2" t="inlineStr">
        <is>
          <t>• Las fechas salen en UTC en CSV, XLSX y JSON.
• institutions.settings.timezone existe pero ningún reporte lo lee.
• Decidir si se convierte a la hora del centro, y entonces en los tres formatos a la vez.</t>
        </is>
      </c>
      <c r="H128" s="2" t="n"/>
      <c r="I128" s="2" t="inlineStr">
        <is>
          <t>CHECKLIST_PENDIENTES.md B1</t>
        </is>
      </c>
      <c r="J128" s="2" t="inlineStr">
        <is>
          <t>Hecho</t>
        </is>
      </c>
      <c r="K128" s="8" t="n">
        <v>46298</v>
      </c>
      <c r="L128" s="2" t="inlineStr">
        <is>
          <t>Decisión del usuario: se queda en UTC. La hora del centro la pinta el frontend con institutions.settings.timezone</t>
        </is>
      </c>
    </row>
    <row r="129">
      <c r="A129" s="2" t="inlineStr">
        <is>
          <t>B1b</t>
        </is>
      </c>
      <c r="B129" s="2" t="inlineStr">
        <is>
          <t>Tarea</t>
        </is>
      </c>
      <c r="C129" s="2" t="inlineStr">
        <is>
          <t>9. Funcionalidad nueva del backend</t>
        </is>
      </c>
      <c r="D129" s="2" t="n"/>
      <c r="E129" s="2" t="inlineStr">
        <is>
          <t>4 · Normal</t>
        </is>
      </c>
      <c r="F129" s="2" t="inlineStr">
        <is>
          <t>Informe: añadir XLSX donde dice «PDF y CSV»</t>
        </is>
      </c>
      <c r="G129" s="2" t="inlineStr">
        <is>
          <t>• Pasajes [236], [390] y [732].
• Ya está implementado, así que la frase puede ir en presente.</t>
        </is>
      </c>
      <c r="H129" s="2" t="n"/>
      <c r="I129" s="2" t="inlineStr">
        <is>
          <t>CHECKLIST_PENDIENTES.md B1</t>
        </is>
      </c>
      <c r="J129" s="2" t="inlineStr">
        <is>
          <t>Pendiente</t>
        </is>
      </c>
      <c r="K129" s="8" t="n"/>
      <c r="L129" s="2" t="n"/>
    </row>
    <row r="130">
      <c r="A130" s="3" t="inlineStr">
        <is>
          <t>P2.8</t>
        </is>
      </c>
      <c r="B130" s="3" t="inlineStr">
        <is>
          <t>Subtarea</t>
        </is>
      </c>
      <c r="C130" s="3" t="inlineStr">
        <is>
          <t>3. Producción y despliegue</t>
        </is>
      </c>
      <c r="D130" s="3" t="n"/>
      <c r="E130" s="3" t="inlineStr">
        <is>
          <t>1 · Alta</t>
        </is>
      </c>
      <c r="F130" s="3" t="inlineStr">
        <is>
          <t>QUEUE_CONNECTION=database (no sync)</t>
        </is>
      </c>
      <c r="G130" s="3" t="inlineStr">
        <is>
          <t>• Con sync, la llamada a OpenAI vuelve dentro de la peticion y D1 deja de tener sentido.</t>
        </is>
      </c>
      <c r="H130" s="3" t="n"/>
      <c r="I130" s="3" t="inlineStr">
        <is>
          <t>CHECKLIST_PENDIENTES.md P2</t>
        </is>
      </c>
      <c r="J130" s="3" t="inlineStr">
        <is>
          <t>Pendiente</t>
        </is>
      </c>
      <c r="K130" s="9" t="n"/>
      <c r="L130" s="3" t="n"/>
    </row>
    <row r="131">
      <c r="A131" s="2" t="inlineStr">
        <is>
          <t>D2a</t>
        </is>
      </c>
      <c r="B131" s="2" t="inlineStr">
        <is>
          <t>Tarea</t>
        </is>
      </c>
      <c r="C131" s="2" t="inlineStr">
        <is>
          <t>1. Decisiones que bloquean otras tareas</t>
        </is>
      </c>
      <c r="D131" s="2" t="n"/>
      <c r="E131" s="2" t="inlineStr">
        <is>
          <t>3 · Media-baja</t>
        </is>
      </c>
      <c r="F131" s="2" t="inlineStr">
        <is>
          <t>Vigilar la dispersion de temas en el piloto</t>
        </is>
      </c>
      <c r="G131" s="2" t="inlineStr">
        <is>
          <t>• topic es opcional y texto libre: un centro que no etiquete items no vera nada por tema, sin aviso.
• La agregacion tolera mayusculas y espacios, no sinonimos ni tildes.
• Si el piloto (E4) muestra dispersion, la salida es el catalogo de temas por materia que se descarto en D2.</t>
        </is>
      </c>
      <c r="H131" s="2" t="n"/>
      <c r="I131" s="2" t="inlineStr">
        <is>
          <t>ESTADO_Y_PENDIENTES.md, pendientes 13/09/2026</t>
        </is>
      </c>
      <c r="J131" s="2" t="inlineStr">
        <is>
          <t>Pendiente</t>
        </is>
      </c>
      <c r="K131" s="8" t="n"/>
      <c r="L131" s="2" t="n"/>
    </row>
    <row r="132">
      <c r="A132" s="2" t="inlineStr">
        <is>
          <t>F17</t>
        </is>
      </c>
      <c r="B132" s="2" t="inlineStr">
        <is>
          <t>Tarea</t>
        </is>
      </c>
      <c r="C132" s="2" t="inlineStr">
        <is>
          <t>5. Frontend</t>
        </is>
      </c>
      <c r="D132" s="2" t="n"/>
      <c r="E132" s="2" t="inlineStr">
        <is>
          <t>2 · Media</t>
        </is>
      </c>
      <c r="F132" s="2" t="inlineStr">
        <is>
          <t>Panel de metricas del tutor IA para el superadmin</t>
        </is>
      </c>
      <c r="G132" s="2" t="inlineStr">
        <is>
          <t>• Datos: GET /platform/ai-tutor-metrics (ventana, totales, validation_pass_rate, por tipo, por etapa, por institucion y serie diaria).
• El umbral de [173] es 75 %: conviene que se vea si se cumple o no de un vistazo.
• Solo agregados: no hay ningun dato de alumno que mostrar.</t>
        </is>
      </c>
      <c r="H132" s="2" t="n"/>
      <c r="I132" s="2" t="inlineStr">
        <is>
          <t>ESTADO_Y_PENDIENTES.md, seccion Aviso de IA e incidencias</t>
        </is>
      </c>
      <c r="J132" s="2" t="inlineStr">
        <is>
          <t>Pendiente</t>
        </is>
      </c>
      <c r="K132" s="8" t="n"/>
      <c r="L132" s="2" t="n"/>
    </row>
    <row r="133">
      <c r="A133" s="2" t="inlineStr">
        <is>
          <t>S5</t>
        </is>
      </c>
      <c r="B133" s="2" t="inlineStr">
        <is>
          <t>Tarea</t>
        </is>
      </c>
      <c r="C133" s="2" t="inlineStr">
        <is>
          <t>2. Seguridad</t>
        </is>
      </c>
      <c r="D133" s="2" t="n"/>
      <c r="E133" s="2" t="inlineStr">
        <is>
          <t>3 · Media-baja</t>
        </is>
      </c>
      <c r="F133" s="2" t="inlineStr">
        <is>
          <t>Analiticas por materia acotadas al docente</t>
        </is>
      </c>
      <c r="G133" s="2" t="inlineStr">
        <is>
          <t>• Hoy devuelve el rendimiento de todas las materias del centro, incluidas las que no imparte.
• Son agregados sin nombres y [173] le concede «metricas agregadas», asi que se sostiene.
• Pero materiasDelDocente() existe y acotarlo seria coherente con el resto.</t>
        </is>
      </c>
      <c r="H133" s="2" t="n"/>
      <c r="I133" s="2" t="inlineStr">
        <is>
          <t>ESTADO_Y_PENDIENTES.md, Revision de alcance por rol</t>
        </is>
      </c>
      <c r="J133" s="2" t="inlineStr">
        <is>
          <t>Hecho</t>
        </is>
      </c>
      <c r="K133" s="8" t="n">
        <v>46278</v>
      </c>
      <c r="L133" s="2" t="inlineStr">
        <is>
          <t>El docente ve solo las materias que imparte (materiasDelDocente()); el admin sigue viendolas todas. Un docente sin asignaciones recibe lista vacia.</t>
        </is>
      </c>
    </row>
    <row r="134">
      <c r="A134" s="2" t="inlineStr">
        <is>
          <t>S6</t>
        </is>
      </c>
      <c r="B134" s="2" t="inlineStr">
        <is>
          <t>Tarea</t>
        </is>
      </c>
      <c r="C134" s="2" t="inlineStr">
        <is>
          <t>2. Seguridad</t>
        </is>
      </c>
      <c r="D134" s="2" t="n"/>
      <c r="E134" s="2" t="inlineStr">
        <is>
          <t>3 · Media-baja</t>
        </is>
      </c>
      <c r="F134" s="2" t="inlineStr">
        <is>
          <t>Autoria para editar y borrar calendario y recursos</t>
        </is>
      </c>
      <c r="G134" s="2" t="inlineStr">
        <is>
          <t>• PUT/DELETE de calendar-events y study-resources no miran created_by.
• No es fuga de datos (son escrituras y el tenant esta cerrado), pero si una puerta sobre trabajo ajeno.
• Decision de fondo: el calendario y la biblioteca son del centro o de quien los creo?</t>
        </is>
      </c>
      <c r="H134" s="2" t="n"/>
      <c r="I134" s="2" t="inlineStr">
        <is>
          <t>ESTADO_Y_PENDIENTES.md, Revision de alcance por rol</t>
        </is>
      </c>
      <c r="J134" s="2" t="inlineStr">
        <is>
          <t>Hecho</t>
        </is>
      </c>
      <c r="K134" s="8" t="n">
        <v>46278</v>
      </c>
      <c r="L134" s="2" t="inlineStr">
        <is>
          <t>Cada entrada es de quien la creo. El admin queda fuera de la regla (responde por la institucion). Las entradas sin autor (created_by nulo) solo las toca el admin. Regla en el trait ExigeAutoria.</t>
        </is>
      </c>
    </row>
    <row r="135">
      <c r="A135" s="2" t="inlineStr">
        <is>
          <t>B2</t>
        </is>
      </c>
      <c r="B135" s="2" t="inlineStr">
        <is>
          <t>Tarea</t>
        </is>
      </c>
      <c r="C135" s="2" t="inlineStr">
        <is>
          <t>9. Funcionalidad nueva del backend</t>
        </is>
      </c>
      <c r="D135" s="2" t="n"/>
      <c r="E135" s="2" t="inlineStr">
        <is>
          <t>1 · Alta</t>
        </is>
      </c>
      <c r="F135" s="2" t="inlineStr">
        <is>
          <t>Primaria 1-6: un solo rango de grados, y el tutor adapta el registro</t>
        </is>
      </c>
      <c r="G135" s="2" t="inlineStr">
        <is>
          <t>• Habia tres rangos a mano que no coincidian: config 6-12, GroupController 6-12, ExamController 7-12, y los prompts decian «primaria».
• Consecuencia real: no se podia crear un examen de 6.o aunque si el grupo.
• Ahora los tres salen de config('academic.grade_*'), con 1-6 por defecto. Las factories tambien.
• El tutor recibe una instruccion de registro por franja (1-2, 3-4, 5-6, y una conservadora sin grado) en las TRES superficies: chat, diagnostico y recomendaciones.</t>
        </is>
      </c>
      <c r="H135" s="2" t="n"/>
      <c r="I135" s="2" t="inlineStr">
        <is>
          <t>ESTADO_Y_PENDIENTES.md, Primaria 1-6</t>
        </is>
      </c>
      <c r="J135" s="2" t="inlineStr">
        <is>
          <t>Hecho</t>
        </is>
      </c>
      <c r="K135" s="8" t="n">
        <v>46278</v>
      </c>
      <c r="L135" s="2" t="inlineStr">
        <is>
          <t>Textos de las franjas en config/openai.php (tutor.registro); logica en App\Services\AI\RegistroPorGrado.</t>
        </is>
      </c>
    </row>
    <row r="136">
      <c r="A136" s="2" t="inlineStr">
        <is>
          <t>B2a</t>
        </is>
      </c>
      <c r="B136" s="2" t="inlineStr">
        <is>
          <t>Tarea</t>
        </is>
      </c>
      <c r="C136" s="2" t="inlineStr">
        <is>
          <t>9. Funcionalidad nueva del backend</t>
        </is>
      </c>
      <c r="D136" s="2" t="n"/>
      <c r="E136" s="2" t="inlineStr">
        <is>
          <t>2 · Media</t>
        </is>
      </c>
      <c r="F136" s="2" t="inlineStr">
        <is>
          <t>Decidir que se hace con los datos fuera de rango</t>
        </is>
      </c>
      <c r="G136" s="2" t="inlineStr">
        <is>
          <t>• En la base remota hay estudiantes en grados 10 y 11, grupos en 11 y examenes en 10, mas 60 estudiantes con grado NULL.
• La validacion solo actua al escribir, asi que nada se rompe; pero esas filas ya no describen un centro de primaria.
• Se limpian, se remapean o se dejan como datos de prueba hasta el piloto (E4)?</t>
        </is>
      </c>
      <c r="H136" s="2" t="n"/>
      <c r="I136" s="2" t="inlineStr">
        <is>
          <t>ESTADO_Y_PENDIENTES.md, Primaria 1-6</t>
        </is>
      </c>
      <c r="J136" s="2" t="inlineStr">
        <is>
          <t>Pendiente</t>
        </is>
      </c>
      <c r="K136" s="8" t="n"/>
      <c r="L136" s="2" t="inlineStr">
        <is>
          <t>Lo deja abierto B2.</t>
        </is>
      </c>
    </row>
    <row r="137">
      <c r="A137" s="2" t="inlineStr">
        <is>
          <t>S7</t>
        </is>
      </c>
      <c r="B137" s="2" t="inlineStr">
        <is>
          <t>Tarea</t>
        </is>
      </c>
      <c r="C137" s="2" t="inlineStr">
        <is>
          <t>2. Seguridad</t>
        </is>
      </c>
      <c r="D137" s="2" t="n"/>
      <c r="E137" s="2" t="inlineStr">
        <is>
          <t>1 · Alta</t>
        </is>
      </c>
      <c r="F137" s="2" t="inlineStr">
        <is>
          <t>Superficie de inyeccion del tutor IA</t>
        </is>
      </c>
      <c r="G137" s="2" t="inlineStr">
        <is>
          <t>• topic se interpolaba dentro del token de control [MODO: explicar '{topic}']: 200 caracteres libres del alumno con los que cerrar el corchete.
• La directiva de modo viajaba pegada al mensaje, en el mismo turno user: bastaba escribir [MODO: ...] para falsificar una.
• answer_text (la respuesta libre del alumno) entraba cruda en el prompt de recomendaciones, y ese texto acaba en el informe del docente: inyeccion de alumno a docente.
• La salida del modelo se guardaba sin quitarle el marcado ejecutable (XSS almacenado).</t>
        </is>
      </c>
      <c r="H137" s="2" t="n"/>
      <c r="I137" s="2" t="inlineStr">
        <is>
          <t>ESTADO_Y_PENDIENTES.md, Superficie de inyeccion del tutor IA</t>
        </is>
      </c>
      <c r="J137" s="2" t="inlineStr">
        <is>
          <t>Hecho</t>
        </is>
      </c>
      <c r="K137" s="8" t="n">
        <v>46280</v>
      </c>
      <c r="L137" s="2" t="inlineStr">
        <is>
          <t>Cerrada por los dos lados. Entrada: AiInputSanitizer (nuevo) sanea la forma de todo dato que entra en un prompt y corta los intentos ANTES de llamar a OpenAI (no se paga, no entra en el historial). Estructura: la directiva de modo pasa a turno system propio; el historial se reduce a role+content. Prompt: el system prompt declara que lo que llega despues es contenido del alumno, nunca ordenes. Salida: sanitize() quita etiquetas HTML y esquemas javascript:/data:. Incidencia nueva prompt_injection (migracion 2026_09_15_000001, aplicada), fuera de deValidacion() para no hundir el 75% de [173]. Patrones deliberadamente estrechos por los falsos positivos de primaria: un ataque bien redactado lo para el prompt, no el regex. 40 tests nuevos (489 en total).</t>
        </is>
      </c>
    </row>
    <row r="138">
      <c r="A138" s="2" t="inlineStr">
        <is>
          <t>S8</t>
        </is>
      </c>
      <c r="B138" s="2" t="inlineStr">
        <is>
          <t>Tarea</t>
        </is>
      </c>
      <c r="C138" s="2" t="inlineStr">
        <is>
          <t>2. Seguridad</t>
        </is>
      </c>
      <c r="D138" s="2" t="n"/>
      <c r="E138" s="2" t="inlineStr">
        <is>
          <t>1 · Alta</t>
        </is>
      </c>
      <c r="F138" s="2" t="inlineStr">
        <is>
          <t>Aislamiento multi-tenant: que separa de verdad a una institucion de otra</t>
        </is>
      </c>
      <c r="G138" s="2" t="inlineStr">
        <is>
          <t>• El RLS de D8 no aisla instituciones: la app se conecta con un rol rolbypassrls y las 26 tablas tienen CERO politicas (pg_policies = 0). RLS activo sin politicas = denegar todo, asi que solo afecta a los demas roles.
• El guardia de TenantScoped usaba runningInConsole(), que mira PHP_SAPI. Octane arranca desde consola: con --server=swoole o roadrunner el SAPI es cli en plena peticion HTTP y el trait habria dejado de lanzar, devolviendo filas de todas las instituciones sin ningun error.
• Doce consultas crudas sobre group_students, groups y student_subjects eran correctas por deduccion, no por WHERE.</t>
        </is>
      </c>
      <c r="H138" s="2" t="n"/>
      <c r="I138" s="2" t="inlineStr">
        <is>
          <t>ESTADO_Y_PENDIENTES.md §5.1</t>
        </is>
      </c>
      <c r="J138" s="2" t="inlineStr">
        <is>
          <t>Hecho</t>
        </is>
      </c>
      <c r="K138" s="8" t="n">
        <v>46280</v>
      </c>
      <c r="L138" s="2" t="inlineStr">
        <is>
          <t>El RLS vale contra la via PostgREST (anon/authenticated no sacan una fila) pero ninguna politica compara institution_id: el informe NO puede presentarlo como lo que aisla los centros. Corregida la frase enganosa de §5. Mina desactivada con el middleware global MarcaContextoHttp: el entorno se declara, no se adivina. Las doce consultas llevan ya institution_id explicito. Cubierto por tests/Feature/Security/AislamientoMultitenantTest.php (6 casos), verificado que 3 fallan si se revierten los arreglos. Viabilidad de un RLS real: investigada, no implementada (se puede crear el rol sin BYPASSRLS y las variables de sesion funcionan por el pooler; falta probar Supavisor con rol propio, y el coste esta en fijar la variable en cada peticion sin que se filtre entre centros).</t>
        </is>
      </c>
    </row>
    <row r="139">
      <c r="A139" s="2" t="inlineStr">
        <is>
          <t>F18</t>
        </is>
      </c>
      <c r="B139" s="2" t="inlineStr">
        <is>
          <t>Tarea</t>
        </is>
      </c>
      <c r="C139" s="2" t="inlineStr">
        <is>
          <t>5. Frontend</t>
        </is>
      </c>
      <c r="D139" s="2" t="inlineStr">
        <is>
          <t>Funcionalidad nueva</t>
        </is>
      </c>
      <c r="E139" s="2" t="inlineStr">
        <is>
          <t>4 · Normal</t>
        </is>
      </c>
      <c r="F139" s="5" t="inlineStr">
        <is>
          <t>Campanita de notificaciones</t>
        </is>
      </c>
      <c r="G139" s="2" t="inlineStr">
        <is>
          <t>• GET /api/notifications (meta.unread_count), PATCH /api/notifications/{id}/read, POST /api/notifications/read-all
• Hoy el único tipo es exam_available, con título, materia y ventana en data</t>
        </is>
      </c>
      <c r="H139" s="2" t="inlineStr">
        <is>
          <t>O1</t>
        </is>
      </c>
      <c r="I139" s="2" t="inlineStr">
        <is>
          <t>CHECKLIST_PENDIENTES.md, sección 5</t>
        </is>
      </c>
      <c r="J139" s="2" t="inlineStr">
        <is>
          <t>Pendiente</t>
        </is>
      </c>
      <c r="K139" s="8" t="n"/>
      <c r="L139" s="2" t="inlineStr">
        <is>
          <t>Backend listo (O1, 03/10/2026)</t>
        </is>
      </c>
    </row>
    <row r="140">
      <c r="A140" s="2" t="inlineStr">
        <is>
          <t>F19</t>
        </is>
      </c>
      <c r="B140" s="2" t="inlineStr">
        <is>
          <t>Tarea</t>
        </is>
      </c>
      <c r="C140" s="2" t="inlineStr">
        <is>
          <t>5. Frontend</t>
        </is>
      </c>
      <c r="D140" s="2" t="inlineStr">
        <is>
          <t>Funcionalidad nueva</t>
        </is>
      </c>
      <c r="E140" s="2" t="inlineStr">
        <is>
          <t>4 · Normal</t>
        </is>
      </c>
      <c r="F140" s="5" t="inlineStr">
        <is>
          <t>Presentar la respuesta del tutor según presentation</t>
        </is>
      </c>
      <c r="G140" s="2" t="inlineStr">
        <is>
          <t>• Con auditivo, ofrecer leerla en voz alta (p. ej. Web Speech API)
• visual y lector llegan ya formateadas como texto
• Si viene video (visual/auditivo), incrustar el reproductor de YouTube
• En el formulario de crear/editar examen: campo opcional video_url</t>
        </is>
      </c>
      <c r="H140" s="2" t="inlineStr">
        <is>
          <t>O2</t>
        </is>
      </c>
      <c r="I140" s="2" t="inlineStr">
        <is>
          <t>CHECKLIST_PENDIENTES.md, sección 5</t>
        </is>
      </c>
      <c r="J140" s="2" t="inlineStr">
        <is>
          <t>Pendiente</t>
        </is>
      </c>
      <c r="K140" s="8" t="n"/>
      <c r="L140" s="2" t="inlineStr">
        <is>
          <t>Backend listo (O2, 03/10/2026)</t>
        </is>
      </c>
    </row>
    <row r="141">
      <c r="A141" s="2" t="inlineStr">
        <is>
          <t>F20</t>
        </is>
      </c>
      <c r="B141" s="2" t="inlineStr">
        <is>
          <t>Tarea</t>
        </is>
      </c>
      <c r="C141" s="2" t="inlineStr">
        <is>
          <t>5. Frontend</t>
        </is>
      </c>
      <c r="D141" s="2" t="inlineStr">
        <is>
          <t>Funcionalidad nueva</t>
        </is>
      </c>
      <c r="E141" s="2" t="inlineStr">
        <is>
          <t>4 · Normal</t>
        </is>
      </c>
      <c r="F141" s="5" t="inlineStr">
        <is>
          <t>Usar el chat asíncrono del tutor</t>
        </is>
      </c>
      <c r="G141" s="2" t="inlineStr">
        <is>
          <t>• Mandar async:true, recibir 202 y consultar GET /api/ai/tutor/sessions/{id} hasta awaiting_reply:false
• Con 409, esperar a la respuesta anterior</t>
        </is>
      </c>
      <c r="H141" s="2" t="inlineStr">
        <is>
          <t>O7</t>
        </is>
      </c>
      <c r="I141" s="2" t="inlineStr">
        <is>
          <t>CHECKLIST_PENDIENTES.md, sección 8</t>
        </is>
      </c>
      <c r="J141" s="2" t="inlineStr">
        <is>
          <t>Pendiente</t>
        </is>
      </c>
      <c r="K141" s="8" t="n"/>
      <c r="L141" s="2" t="inlineStr">
        <is>
          <t>Backend listo (O7, 03/10/2026)</t>
        </is>
      </c>
    </row>
    <row r="142">
      <c r="A142" s="2" t="inlineStr">
        <is>
          <t>P9</t>
        </is>
      </c>
      <c r="B142" s="2" t="inlineStr">
        <is>
          <t>Tarea</t>
        </is>
      </c>
      <c r="C142" s="2" t="inlineStr">
        <is>
          <t>3. Producción y despliegue</t>
        </is>
      </c>
      <c r="D142" s="2" t="n"/>
      <c r="E142" s="2" t="inlineStr">
        <is>
          <t>1 · Alta</t>
        </is>
      </c>
      <c r="F142" s="5" t="inlineStr">
        <is>
          <t>WebSocket (Reverb) en producción</t>
        </is>
      </c>
      <c r="G142" s="2" t="inlineStr">
        <is>
          <t>• El código ya está hecho. Desde el 11/10/2026 son TRES instancias independientes (App, WebSocket, Worker): misma imagen, distinto comando. Falta crearlas y configurarlas en Coolify
• Hecho: entrypoint sin Reverb embebido; docker-compose con app + websocket + queue; app y worker publican por REVERB_PUBLISH_* (red interna)
• Pendiente: crear el recurso WebSocket (php artisan reverb:start --host=0.0.0.0 --port=8180 --no-interaction) con dominio https://ws.…:8180
• Pendiente: variables en los TRES recursos: BROADCAST_CONNECTION=reverb, REVERB_APP_ID, REVERB_APP_KEY, REVERB_APP_SECRET (largas y aleatorias; el secret solo en el servidor), REVERB_HOST=ws.…, REVERB_PORT=443, REVERB_SCHEME=https, REVERB_SERVER_HOST=0.0.0.0, REVERB_SERVER_PORT=8180, FRONTEND_URL; más REVERB_PUBLISH_HOST/PORT/SCHEME en App y Worker
• Pendiente: construir la imagen y probar docker compose up --build (el daemon de Docker no estaba arrancado)
• Pendiente: probar de punta a punta (activar un examen y verlo llegar sin recargar)
• Una sola réplica del WebSocket; para escalar, Redis (REVERB_SCALING_ENABLED)</t>
        </is>
      </c>
      <c r="H142" s="2" t="inlineStr">
        <is>
          <t>B4</t>
        </is>
      </c>
      <c r="I142" s="2" t="inlineStr">
        <is>
          <t>DEPLOY_COOLIFY.md §3b</t>
        </is>
      </c>
      <c r="J142" s="2" t="inlineStr">
        <is>
          <t>Pendiente</t>
        </is>
      </c>
      <c r="K142" s="8" t="n"/>
      <c r="L142" s="2" t="inlineStr">
        <is>
          <t>Código listo y separado en tres instancias (11/10/2026); falta crearlas en Coolify y prueba real.</t>
        </is>
      </c>
    </row>
    <row r="143">
      <c r="A143" s="2" t="inlineStr">
        <is>
          <t>F21</t>
        </is>
      </c>
      <c r="B143" s="2" t="inlineStr">
        <is>
          <t>Tarea</t>
        </is>
      </c>
      <c r="C143" s="2" t="inlineStr">
        <is>
          <t>5. Frontend</t>
        </is>
      </c>
      <c r="D143" s="2" t="inlineStr">
        <is>
          <t>Funcionalidad nueva</t>
        </is>
      </c>
      <c r="E143" s="2" t="inlineStr">
        <is>
          <t>4 · Normal</t>
        </is>
      </c>
      <c r="F143" s="5" t="inlineStr">
        <is>
          <t>Aviso en vivo de examen activado (WebSocket)</t>
        </is>
      </c>
      <c r="G143" s="2" t="inlineStr">
        <is>
          <t>• Laravel Echo + pusher-js con REVERB_APP_KEY, host y puerto
• authEndpoint = /api/broadcasting/auth con el Bearer
• Escuchar .examen.activado en el canal privado alumno.{id}
• Payload: exam_id, title, available_from, available_until; con available_from futura, pintar «disponible desde…» y no un botón activo</t>
        </is>
      </c>
      <c r="H143" s="2" t="inlineStr">
        <is>
          <t>B4</t>
        </is>
      </c>
      <c r="I143" s="2" t="inlineStr">
        <is>
          <t>CHECKLIST_PENDIENTES.md, sección 5</t>
        </is>
      </c>
      <c r="J143" s="2" t="inlineStr">
        <is>
          <t>Pendiente</t>
        </is>
      </c>
      <c r="K143" s="8" t="n"/>
      <c r="L143" s="2" t="inlineStr">
        <is>
          <t>Backend listo (B4, 08/10/2026)</t>
        </is>
      </c>
    </row>
    <row r="144">
      <c r="A144" s="2" t="inlineStr">
        <is>
          <t>F22</t>
        </is>
      </c>
      <c r="B144" s="2" t="inlineStr">
        <is>
          <t>Tarea</t>
        </is>
      </c>
      <c r="C144" s="2" t="inlineStr">
        <is>
          <t>5. Frontend</t>
        </is>
      </c>
      <c r="D144" s="2" t="inlineStr">
        <is>
          <t>Funcionalidad nueva</t>
        </is>
      </c>
      <c r="E144" s="2" t="inlineStr">
        <is>
          <t>4 · Normal</t>
        </is>
      </c>
      <c r="F144" s="5" t="inlineStr">
        <is>
          <t>Enlaces de apoyo del examen</t>
        </is>
      </c>
      <c r="G144" s="2" t="inlineStr">
        <is>
          <t>• Formulario de crear/editar examen: lista support_resources (hasta 5; type = video|text, url, title opcional; vídeos solo de YouTube, textos de la lista blanca)
• Mostrar la recomendación resource con su source (teacher/catalog)
• Mostrar el video del chat y de las recomendaciones con su title</t>
        </is>
      </c>
      <c r="H144" s="2" t="inlineStr">
        <is>
          <t>B6</t>
        </is>
      </c>
      <c r="I144" s="2" t="inlineStr">
        <is>
          <t>CHECKLIST_PENDIENTES.md, sección 5</t>
        </is>
      </c>
      <c r="J144" s="2" t="inlineStr">
        <is>
          <t>Pendiente</t>
        </is>
      </c>
      <c r="K144" s="8" t="n"/>
      <c r="L144" s="2" t="inlineStr">
        <is>
          <t>Backend listo (B6, 08/10/2026)</t>
        </is>
      </c>
    </row>
    <row r="145">
      <c r="A145" s="2" t="inlineStr">
        <is>
          <t>B4</t>
        </is>
      </c>
      <c r="B145" s="2" t="inlineStr">
        <is>
          <t>Tarea</t>
        </is>
      </c>
      <c r="C145" s="2" t="inlineStr">
        <is>
          <t>9. Funcionalidad nueva del backend</t>
        </is>
      </c>
      <c r="D145" s="2" t="n"/>
      <c r="E145" s="2" t="inlineStr">
        <is>
          <t>2 · Media</t>
        </is>
      </c>
      <c r="F145" s="2" t="inlineStr">
        <is>
          <t>Aviso en vivo al activar un examen (WebSocket)</t>
        </is>
      </c>
      <c r="G145" s="2" t="inlineStr">
        <is>
          <t>• Laravel Reverb (proceso aparte, sin terceros). Evento ExamenActivado por la cola, canal privado por alumno (alumno.{id}) autenticado en POST /api/broadcasting/auth con el Bearer, tras el middleware activa
• Una sola regla de quién lo ve: Exam::destinatarios(), compartida con la notificación en la app (matrícula vigente en un grupo destino, mismo centro, cuenta activa)
• El evento informa, no autoriza: la ventana la sigue aplicando la API
• Sin Reverb levantado no se rompe nada</t>
        </is>
      </c>
      <c r="H145" s="2" t="n"/>
      <c r="I145" s="2" t="inlineStr">
        <is>
          <t>ESTADO_Y_PENDIENTES.md, Aviso en vivo del examen activado</t>
        </is>
      </c>
      <c r="J145" s="2" t="inlineStr">
        <is>
          <t>Hecho</t>
        </is>
      </c>
      <c r="K145" s="8" t="n">
        <v>46303</v>
      </c>
      <c r="L145" s="2" t="inlineStr">
        <is>
          <t>9 tests (ExamenActivadoEnVivoTest). Quedan P9 (despliegue) y F21 (frontend).</t>
        </is>
      </c>
    </row>
    <row r="146">
      <c r="A146" s="2" t="inlineStr">
        <is>
          <t>B5</t>
        </is>
      </c>
      <c r="B146" s="2" t="inlineStr">
        <is>
          <t>Tarea</t>
        </is>
      </c>
      <c r="C146" s="2" t="inlineStr">
        <is>
          <t>9. Funcionalidad nueva del backend</t>
        </is>
      </c>
      <c r="D146" s="2" t="n"/>
      <c r="E146" s="2" t="inlineStr">
        <is>
          <t>2 · Media</t>
        </is>
      </c>
      <c r="F146" s="2" t="inlineStr">
        <is>
          <t>Examen activado: evento en el calendario del aula</t>
        </is>
      </c>
      <c r="G146" s="2" t="inlineStr">
        <is>
          <t>• Un evento por aula destino (Exam::publicarEnCalendario()), con las fechas de la ventana o la duración del examen, a nombre del docente
• No duplica un evento ya puesto a mano</t>
        </is>
      </c>
      <c r="H146" s="2" t="n"/>
      <c r="I146" s="2" t="inlineStr">
        <is>
          <t>ESTADO_Y_PENDIENTES.md, Calendario</t>
        </is>
      </c>
      <c r="J146" s="2" t="inlineStr">
        <is>
          <t>Hecho</t>
        </is>
      </c>
      <c r="K146" s="8" t="n">
        <v>46303</v>
      </c>
      <c r="L146" s="2" t="inlineStr">
        <is>
          <t>6 tests (ExamenEnElCalendarioTest).</t>
        </is>
      </c>
    </row>
    <row r="147">
      <c r="A147" s="2" t="inlineStr">
        <is>
          <t>B6</t>
        </is>
      </c>
      <c r="B147" s="2" t="inlineStr">
        <is>
          <t>Tarea</t>
        </is>
      </c>
      <c r="C147" s="2" t="inlineStr">
        <is>
          <t>9. Funcionalidad nueva del backend</t>
        </is>
      </c>
      <c r="D147" s="2" t="n"/>
      <c r="E147" s="2" t="inlineStr">
        <is>
          <t>2 · Media</t>
        </is>
      </c>
      <c r="F147" s="2" t="inlineStr">
        <is>
          <t>Enlaces de apoyo del examen, enlaces vivos y vídeo por edad</t>
        </is>
      </c>
      <c r="G147" s="2" t="inlineStr">
        <is>
          <t>• exams.support_resources: hasta 5 enlaces de vídeo o texto que el tutor usa al recomendar; el modelo nunca elige la URL; lo del docente manda sobre la IA y sobre el catálogo
• Antes de entregar un enlace se comprueba que responde (EnlaceDisponible): 404/410, vídeos de YouTube borrados o privados, redirecciones fuera de la lista blanca; sin veredicto = vivo; veredicto cacheado
• Si el estilo necesita vídeo y no hay uno vivo del docente: uno del catálogo del grado del alumno (nunca de otra edad)</t>
        </is>
      </c>
      <c r="H147" s="2" t="n"/>
      <c r="I147" s="2" t="inlineStr">
        <is>
          <t>ESTADO_Y_PENDIENTES.md, Enlaces de apoyo del examen y enlaces vivos</t>
        </is>
      </c>
      <c r="J147" s="2" t="inlineStr">
        <is>
          <t>Hecho</t>
        </is>
      </c>
      <c r="K147" s="8" t="n">
        <v>46303</v>
      </c>
      <c r="L147" s="2" t="inlineStr">
        <is>
          <t>25 tests (EnlacesDeApoyo… y EnlacesVivos…). Migración add_support_resources_to_exams aplicada en la base remota. Queda F22 (frontend).</t>
        </is>
      </c>
    </row>
    <row r="148">
      <c r="A148" s="2" t="inlineStr">
        <is>
          <t>B7</t>
        </is>
      </c>
      <c r="B148" s="2" t="inlineStr">
        <is>
          <t>Tarea</t>
        </is>
      </c>
      <c r="C148" s="2" t="inlineStr">
        <is>
          <t>9. Funcionalidad nueva del backend</t>
        </is>
      </c>
      <c r="D148" s="2" t="n"/>
      <c r="E148" s="2" t="inlineStr">
        <is>
          <t>2 · Media</t>
        </is>
      </c>
      <c r="F148" s="2" t="inlineStr">
        <is>
          <t>Menos tokens en el tutor</t>
        </is>
      </c>
      <c r="G148" s="2" t="inlineStr">
        <is>
          <t>• Prompts recortados (3 párrafos en vez de 4) y topes más bajos: historial 20 → 10, respuesta 600 → 450, práctica 800 → 650 (.env)
• La bajada es estimada: sin créditos de OpenAI no se pudo medir. Los textos pedagógicos quedaron más escuetos: conviene una lectura del profesorado</t>
        </is>
      </c>
      <c r="H148" s="2" t="n"/>
      <c r="I148" s="2" t="inlineStr">
        <is>
          <t>ESTADO_Y_PENDIENTES.md, Tutor IA conversacional</t>
        </is>
      </c>
      <c r="J148" s="2" t="inlineStr">
        <is>
          <t>Hecho</t>
        </is>
      </c>
      <c r="K148" s="8" t="n">
        <v>46303</v>
      </c>
      <c r="L148" s="2" t="n"/>
    </row>
    <row r="149">
      <c r="K149" s="11" t="n"/>
    </row>
    <row r="150">
      <c r="K150" s="11" t="n"/>
    </row>
    <row r="151">
      <c r="K151" s="11" t="n"/>
    </row>
    <row r="152">
      <c r="K152" s="11" t="n"/>
    </row>
    <row r="153">
      <c r="K153" s="11" t="n"/>
    </row>
    <row r="154">
      <c r="K154" s="11" t="n"/>
    </row>
    <row r="155">
      <c r="K155" s="11" t="n"/>
    </row>
    <row r="156">
      <c r="K156" s="11" t="n"/>
    </row>
    <row r="157">
      <c r="K157" s="11" t="n"/>
    </row>
    <row r="158">
      <c r="K158" s="11" t="n"/>
    </row>
    <row r="159">
      <c r="K159" s="11" t="n"/>
    </row>
    <row r="160">
      <c r="K160" s="11" t="n"/>
    </row>
    <row r="161">
      <c r="K161" s="11" t="n"/>
    </row>
    <row r="162">
      <c r="K162" s="11" t="n"/>
    </row>
    <row r="163">
      <c r="K163" s="11" t="n"/>
    </row>
    <row r="164">
      <c r="K164" s="11" t="n"/>
    </row>
    <row r="165">
      <c r="K165" s="11" t="n"/>
    </row>
    <row r="166">
      <c r="K166" s="11" t="n"/>
    </row>
    <row r="167">
      <c r="K167" s="11" t="n"/>
    </row>
    <row r="168">
      <c r="K168" s="11" t="n"/>
    </row>
    <row r="169">
      <c r="K169" s="11" t="n"/>
    </row>
    <row r="170">
      <c r="K170" s="11" t="n"/>
    </row>
    <row r="171">
      <c r="K171" s="11" t="n"/>
    </row>
    <row r="172">
      <c r="K172" s="11" t="n"/>
    </row>
    <row r="173">
      <c r="K173" s="11" t="n"/>
    </row>
    <row r="174">
      <c r="K174" s="11" t="n"/>
    </row>
    <row r="175">
      <c r="K175" s="11" t="n"/>
    </row>
    <row r="176">
      <c r="K176" s="11" t="n"/>
    </row>
    <row r="177">
      <c r="K177" s="11" t="n"/>
    </row>
    <row r="178">
      <c r="K178" s="11" t="n"/>
    </row>
    <row r="179">
      <c r="K179" s="11" t="n"/>
    </row>
    <row r="180">
      <c r="K180" s="11" t="n"/>
    </row>
    <row r="181">
      <c r="K181" s="11" t="n"/>
    </row>
    <row r="182">
      <c r="K182" s="11" t="n"/>
    </row>
    <row r="183">
      <c r="K183" s="11" t="n"/>
    </row>
    <row r="184">
      <c r="K184" s="11" t="n"/>
    </row>
    <row r="185">
      <c r="K185" s="11" t="n"/>
    </row>
    <row r="186">
      <c r="K186" s="11" t="n"/>
    </row>
    <row r="187">
      <c r="K187" s="11" t="n"/>
    </row>
    <row r="188">
      <c r="K188" s="11" t="n"/>
    </row>
    <row r="189">
      <c r="K189" s="11" t="n"/>
    </row>
    <row r="190">
      <c r="K190" s="11" t="n"/>
    </row>
    <row r="191">
      <c r="K191" s="11" t="n"/>
    </row>
    <row r="192">
      <c r="K192" s="11" t="n"/>
    </row>
    <row r="193">
      <c r="K193" s="11" t="n"/>
    </row>
    <row r="194">
      <c r="K194" s="11" t="n"/>
    </row>
    <row r="195">
      <c r="K195" s="11" t="n"/>
    </row>
    <row r="196">
      <c r="K196" s="11" t="n"/>
    </row>
    <row r="197">
      <c r="K197" s="11" t="n"/>
    </row>
    <row r="198">
      <c r="K198" s="11" t="n"/>
    </row>
    <row r="199">
      <c r="K199" s="11" t="n"/>
    </row>
    <row r="200">
      <c r="K200" s="11" t="n"/>
    </row>
    <row r="201">
      <c r="K201" s="11" t="n"/>
    </row>
    <row r="202">
      <c r="K202" s="11" t="n"/>
    </row>
    <row r="203">
      <c r="K203" s="11" t="n"/>
    </row>
    <row r="204">
      <c r="K204" s="11" t="n"/>
    </row>
    <row r="205">
      <c r="K205" s="11" t="n"/>
    </row>
    <row r="206">
      <c r="K206" s="11" t="n"/>
    </row>
    <row r="207">
      <c r="K207" s="11" t="n"/>
    </row>
    <row r="208">
      <c r="K208" s="11" t="n"/>
    </row>
    <row r="209">
      <c r="K209" s="11" t="n"/>
    </row>
    <row r="210">
      <c r="K210" s="11" t="n"/>
    </row>
    <row r="211">
      <c r="K211" s="11" t="n"/>
    </row>
    <row r="212">
      <c r="K212" s="11" t="n"/>
    </row>
    <row r="213">
      <c r="K213" s="11" t="n"/>
    </row>
    <row r="214">
      <c r="K214" s="11" t="n"/>
    </row>
    <row r="215">
      <c r="K215" s="11" t="n"/>
    </row>
    <row r="216">
      <c r="K216" s="11" t="n"/>
    </row>
    <row r="217">
      <c r="K217" s="11" t="n"/>
    </row>
    <row r="218">
      <c r="K218" s="11" t="n"/>
    </row>
    <row r="219">
      <c r="K219" s="11" t="n"/>
    </row>
    <row r="220">
      <c r="K220" s="11" t="n"/>
    </row>
    <row r="221">
      <c r="K221" s="11" t="n"/>
    </row>
    <row r="222">
      <c r="K222" s="11" t="n"/>
    </row>
    <row r="223">
      <c r="K223" s="11" t="n"/>
    </row>
    <row r="224">
      <c r="K224" s="11" t="n"/>
    </row>
    <row r="225">
      <c r="K225" s="11" t="n"/>
    </row>
    <row r="226">
      <c r="K226" s="11" t="n"/>
    </row>
    <row r="227">
      <c r="K227" s="11" t="n"/>
    </row>
    <row r="228">
      <c r="K228" s="11" t="n"/>
    </row>
    <row r="229">
      <c r="K229" s="11" t="n"/>
    </row>
    <row r="230">
      <c r="K230" s="11" t="n"/>
    </row>
    <row r="231">
      <c r="K231" s="11" t="n"/>
    </row>
    <row r="232">
      <c r="K232" s="11" t="n"/>
    </row>
    <row r="233">
      <c r="K233" s="11" t="n"/>
    </row>
    <row r="234">
      <c r="K234" s="11" t="n"/>
    </row>
    <row r="235">
      <c r="K235" s="11" t="n"/>
    </row>
    <row r="236">
      <c r="K236" s="11" t="n"/>
    </row>
    <row r="237">
      <c r="K237" s="11" t="n"/>
    </row>
    <row r="238">
      <c r="K238" s="11" t="n"/>
    </row>
    <row r="239">
      <c r="K239" s="11" t="n"/>
    </row>
    <row r="240">
      <c r="K240" s="11" t="n"/>
    </row>
    <row r="241">
      <c r="K241" s="11" t="n"/>
    </row>
    <row r="242">
      <c r="K242" s="11" t="n"/>
    </row>
    <row r="243">
      <c r="K243" s="11" t="n"/>
    </row>
    <row r="244">
      <c r="K244" s="11" t="n"/>
    </row>
    <row r="245">
      <c r="K245" s="11" t="n"/>
    </row>
    <row r="246">
      <c r="K246" s="11" t="n"/>
    </row>
    <row r="247">
      <c r="K247" s="11" t="n"/>
    </row>
    <row r="248">
      <c r="K248" s="11" t="n"/>
    </row>
    <row r="249">
      <c r="K249" s="11" t="n"/>
    </row>
    <row r="250">
      <c r="K250" s="11" t="n"/>
    </row>
    <row r="251">
      <c r="K251" s="11" t="n"/>
    </row>
    <row r="252">
      <c r="K252" s="11" t="n"/>
    </row>
    <row r="253">
      <c r="K253" s="11" t="n"/>
    </row>
    <row r="254">
      <c r="K254" s="11" t="n"/>
    </row>
    <row r="255">
      <c r="K255" s="11" t="n"/>
    </row>
    <row r="256">
      <c r="K256" s="11" t="n"/>
    </row>
    <row r="257">
      <c r="K257" s="11" t="n"/>
    </row>
    <row r="258">
      <c r="K258" s="11" t="n"/>
    </row>
    <row r="259">
      <c r="K259" s="11" t="n"/>
    </row>
    <row r="260">
      <c r="K260" s="11" t="n"/>
    </row>
    <row r="261">
      <c r="K261" s="11" t="n"/>
    </row>
    <row r="262">
      <c r="K262" s="11" t="n"/>
    </row>
    <row r="263">
      <c r="K263" s="11" t="n"/>
    </row>
    <row r="264">
      <c r="K264" s="11" t="n"/>
    </row>
    <row r="265">
      <c r="K265" s="11" t="n"/>
    </row>
    <row r="266">
      <c r="K266" s="11" t="n"/>
    </row>
    <row r="267">
      <c r="K267" s="11" t="n"/>
    </row>
    <row r="268">
      <c r="K268" s="11" t="n"/>
    </row>
    <row r="269">
      <c r="K269" s="11" t="n"/>
    </row>
    <row r="270">
      <c r="K270" s="11" t="n"/>
    </row>
    <row r="271">
      <c r="K271" s="11" t="n"/>
    </row>
    <row r="272">
      <c r="K272" s="11" t="n"/>
    </row>
    <row r="273">
      <c r="K273" s="11" t="n"/>
    </row>
    <row r="274">
      <c r="K274" s="11" t="n"/>
    </row>
    <row r="275">
      <c r="K275" s="11" t="n"/>
    </row>
    <row r="276">
      <c r="K276" s="11" t="n"/>
    </row>
    <row r="277">
      <c r="K277" s="11" t="n"/>
    </row>
    <row r="278">
      <c r="K278" s="11" t="n"/>
    </row>
    <row r="279">
      <c r="K279" s="11" t="n"/>
    </row>
    <row r="280">
      <c r="K280" s="11" t="n"/>
    </row>
    <row r="281">
      <c r="K281" s="11" t="n"/>
    </row>
    <row r="282">
      <c r="K282" s="11" t="n"/>
    </row>
    <row r="283">
      <c r="K283" s="11" t="n"/>
    </row>
    <row r="284">
      <c r="K284" s="11" t="n"/>
    </row>
    <row r="285">
      <c r="K285" s="11" t="n"/>
    </row>
    <row r="286">
      <c r="K286" s="11" t="n"/>
    </row>
    <row r="287">
      <c r="K287" s="11" t="n"/>
    </row>
    <row r="288">
      <c r="K288" s="11" t="n"/>
    </row>
    <row r="289">
      <c r="K289" s="11" t="n"/>
    </row>
    <row r="290">
      <c r="K290" s="11" t="n"/>
    </row>
    <row r="291">
      <c r="K291" s="11" t="n"/>
    </row>
    <row r="292">
      <c r="K292" s="11" t="n"/>
    </row>
    <row r="293">
      <c r="K293" s="11" t="n"/>
    </row>
    <row r="294">
      <c r="K294" s="11" t="n"/>
    </row>
    <row r="295">
      <c r="K295" s="11" t="n"/>
    </row>
    <row r="296">
      <c r="K296" s="11" t="n"/>
    </row>
    <row r="297">
      <c r="K297" s="11" t="n"/>
    </row>
    <row r="298">
      <c r="K298" s="11" t="n"/>
    </row>
    <row r="299">
      <c r="K299" s="11" t="n"/>
    </row>
    <row r="300">
      <c r="K300" s="11" t="n"/>
    </row>
    <row r="301">
      <c r="K301" s="11" t="n"/>
    </row>
    <row r="302">
      <c r="K302" s="11" t="n"/>
    </row>
    <row r="303">
      <c r="K303" s="11" t="n"/>
    </row>
    <row r="304">
      <c r="K304" s="11" t="n"/>
    </row>
    <row r="305">
      <c r="K305" s="11" t="n"/>
    </row>
    <row r="306">
      <c r="K306" s="11" t="n"/>
    </row>
    <row r="307">
      <c r="K307" s="11" t="n"/>
    </row>
    <row r="308">
      <c r="K308" s="11" t="n"/>
    </row>
    <row r="309">
      <c r="K309" s="11" t="n"/>
    </row>
    <row r="310">
      <c r="K310" s="11" t="n"/>
    </row>
    <row r="311">
      <c r="K311" s="11" t="n"/>
    </row>
    <row r="312">
      <c r="K312" s="11" t="n"/>
    </row>
    <row r="313">
      <c r="K313" s="11" t="n"/>
    </row>
    <row r="314">
      <c r="K314" s="11" t="n"/>
    </row>
    <row r="315">
      <c r="K315" s="11" t="n"/>
    </row>
    <row r="316">
      <c r="K316" s="11" t="n"/>
    </row>
    <row r="317">
      <c r="K317" s="11" t="n"/>
    </row>
    <row r="318">
      <c r="K318" s="11" t="n"/>
    </row>
    <row r="319">
      <c r="K319" s="11" t="n"/>
    </row>
    <row r="320">
      <c r="K320" s="11" t="n"/>
    </row>
    <row r="321">
      <c r="K321" s="11" t="n"/>
    </row>
    <row r="322">
      <c r="K322" s="11" t="n"/>
    </row>
    <row r="323">
      <c r="K323" s="11" t="n"/>
    </row>
    <row r="324">
      <c r="K324" s="11" t="n"/>
    </row>
    <row r="325">
      <c r="K325" s="11" t="n"/>
    </row>
    <row r="326">
      <c r="K326" s="11" t="n"/>
    </row>
    <row r="327">
      <c r="K327" s="11" t="n"/>
    </row>
  </sheetData>
  <autoFilter ref="A1:L127"/>
  <conditionalFormatting sqref="A2:L327">
    <cfRule type="expression" priority="1" dxfId="1">
      <formula>$J2="Hecho"</formula>
    </cfRule>
    <cfRule type="expression" priority="2" dxfId="2">
      <formula>$J2="Descartado"</formula>
    </cfRule>
    <cfRule type="expression" priority="3" dxfId="3">
      <formula>$J2="En curso"</formula>
    </cfRule>
  </conditionalFormatting>
  <conditionalFormatting sqref="E2:E327">
    <cfRule type="expression" priority="4" dxfId="1">
      <formula>$J2="Hecho"</formula>
    </cfRule>
    <cfRule type="expression" priority="5" dxfId="2">
      <formula>$J2="Descartado"</formula>
    </cfRule>
    <cfRule type="expression" priority="6" dxfId="4">
      <formula>LEFT($E2,1)="1"</formula>
    </cfRule>
    <cfRule type="expression" priority="7" dxfId="5">
      <formula>LEFT($E2,1)="2"</formula>
    </cfRule>
    <cfRule type="expression" priority="8" dxfId="6">
      <formula>LEFT($E2,1)="3"</formula>
    </cfRule>
  </conditionalFormatting>
  <dataValidations count="1">
    <dataValidation sqref="J2:J327" showDropDown="0" showInputMessage="0" showErrorMessage="1" allowBlank="0" errorTitle="Estado no válido" error="Elige: Pendiente, En curso, Hecho o Descartado" type="list" errorStyle="stop" operator="between">
      <formula1>"Pendiente,En curso,Hecho,Descartado"</formula1>
    </dataValidation>
  </dataValidations>
  <printOptions gridLines="0" gridLinesSet="1"/>
  <pageMargins left="0.7" right="0.7" top="0.75" bottom="0.75" header="0.3" footer="0.3"/>
  <pageSetup orientation="landscape" paperSize="1" scale="100" fitToHeight="0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NeoEduCore</dc:creator>
  <dc:title>NeoEduCore — Checklist de pendientes</dc:title>
  <dc:description>Generado desde docs/CHECKLIST_PENDIENTES.md el 10/09/2026</dc:description>
  <dcterms:created xsi:type="dcterms:W3CDTF">2026-09-11T05:53:04Z</dcterms:created>
  <dcterms:modified xsi:type="dcterms:W3CDTF">2026-10-12T03:04:24Z</dcterms:modified>
  <cp:lastModifiedBy>Unknown Creator</cp:lastModifiedBy>
</cp:coreProperties>
</file>